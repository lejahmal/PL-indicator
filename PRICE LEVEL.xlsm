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L2" i="1" l="1"/>
  <c r="C180" i="2" l="1"/>
  <c r="D14" i="1"/>
  <c r="F14" i="1"/>
  <c r="E14" i="1"/>
  <c r="S27" i="1" s="1"/>
  <c r="H8" i="1"/>
  <c r="D7" i="1"/>
  <c r="E18" i="1" s="1"/>
  <c r="E16" i="1" l="1"/>
  <c r="D8" i="1" s="1"/>
  <c r="D9" i="1" s="1"/>
  <c r="E19" i="1"/>
  <c r="L4" i="1"/>
  <c r="E17" i="1"/>
  <c r="E15" i="1"/>
  <c r="Q14" i="1" s="1"/>
  <c r="S16" i="1" s="1"/>
  <c r="E20" i="1"/>
  <c r="Q27" i="1" l="1"/>
  <c r="M27" i="1" s="1"/>
  <c r="H18" i="1"/>
  <c r="I20" i="1"/>
  <c r="D20" i="1"/>
  <c r="F16" i="1"/>
  <c r="Q17" i="1" s="1"/>
  <c r="D17" i="1"/>
  <c r="F17" i="1"/>
  <c r="D15" i="1"/>
  <c r="Q7" i="1" s="1"/>
  <c r="S24" i="1" s="1"/>
  <c r="F18" i="1"/>
  <c r="D16" i="1"/>
  <c r="Q10" i="1" s="1"/>
  <c r="S21" i="1" s="1"/>
  <c r="F20" i="1"/>
  <c r="D19" i="1"/>
  <c r="D18" i="1"/>
  <c r="R14" i="1" s="1"/>
  <c r="F15" i="1"/>
  <c r="Q12" i="1" s="1"/>
  <c r="S19" i="1" s="1"/>
  <c r="F19" i="1"/>
  <c r="Q18" i="1" l="1"/>
  <c r="S13" i="1"/>
  <c r="S5" i="1"/>
  <c r="Q26" i="1"/>
  <c r="R13" i="1"/>
  <c r="S18" i="1"/>
  <c r="Q22" i="1"/>
  <c r="S9" i="1"/>
  <c r="G20" i="1"/>
  <c r="G15" i="1"/>
  <c r="I17" i="1"/>
  <c r="H14" i="1"/>
  <c r="S17" i="1" l="1"/>
  <c r="M13" i="1" s="1"/>
  <c r="H6" i="1"/>
  <c r="Q13" i="1"/>
  <c r="M12" i="1" s="1"/>
  <c r="S26" i="1"/>
  <c r="Q5" i="1"/>
  <c r="M18" i="1"/>
  <c r="H19" i="1"/>
  <c r="H20" i="1"/>
  <c r="H17" i="1"/>
  <c r="S12" i="1" s="1"/>
  <c r="Q19" i="1" s="1"/>
  <c r="H15" i="1"/>
  <c r="Q11" i="1" s="1"/>
  <c r="S20" i="1" s="1"/>
  <c r="H16" i="1"/>
  <c r="G6" i="1"/>
  <c r="D10" i="1"/>
  <c r="M17" i="1" l="1"/>
  <c r="Q15" i="1"/>
  <c r="M15" i="1" s="1"/>
  <c r="S15" i="1"/>
  <c r="R15" i="1"/>
  <c r="M19" i="1"/>
  <c r="L12" i="1"/>
  <c r="G5" i="1"/>
  <c r="H5" i="1"/>
  <c r="G14" i="1"/>
  <c r="G17" i="1"/>
  <c r="G19" i="1"/>
  <c r="M26" i="1" s="1"/>
  <c r="G18" i="1"/>
  <c r="Q23" i="1" s="1"/>
  <c r="S8" i="1" s="1"/>
  <c r="G16" i="1"/>
  <c r="S14" i="1" s="1"/>
  <c r="Q16" i="1" s="1"/>
  <c r="H7" i="1" l="1"/>
  <c r="H9" i="1" s="1"/>
  <c r="D2" i="1" s="1"/>
  <c r="Q6" i="1"/>
  <c r="S25" i="1" s="1"/>
  <c r="I16" i="1"/>
  <c r="S10" i="1" s="1"/>
  <c r="Q21" i="1" s="1"/>
  <c r="S11" i="1"/>
  <c r="Q20" i="1" s="1"/>
  <c r="M16" i="1"/>
  <c r="M14" i="1"/>
  <c r="L5" i="1"/>
  <c r="I15" i="1"/>
  <c r="S7" i="1" s="1"/>
  <c r="Q24" i="1" s="1"/>
  <c r="I14" i="1"/>
  <c r="S6" i="1" s="1"/>
  <c r="Q25" i="1" s="1"/>
  <c r="I19" i="1"/>
  <c r="I18" i="1"/>
  <c r="S23" i="1" s="1"/>
  <c r="Q8" i="1" s="1"/>
  <c r="S22" i="1" l="1"/>
  <c r="Q9" i="1" s="1"/>
  <c r="L9" i="1" s="1"/>
  <c r="M23" i="1"/>
  <c r="O27" i="1"/>
  <c r="O4" i="1"/>
  <c r="M20" i="1"/>
  <c r="L11" i="1"/>
  <c r="C24" i="1"/>
  <c r="J24" i="1"/>
  <c r="F24" i="1"/>
  <c r="K24" i="1"/>
  <c r="M21" i="1"/>
  <c r="L10" i="1"/>
  <c r="M24" i="1"/>
  <c r="E28" i="1" s="1"/>
  <c r="L7" i="1"/>
  <c r="M25" i="1"/>
  <c r="L6" i="1"/>
  <c r="M22" i="1" l="1"/>
  <c r="L8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<sst xmlns="http://schemas.openxmlformats.org/spreadsheetml/2006/main" count="163" uniqueCount="160">
  <si>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</si>
  <si>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</si>
  <si>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</si>
  <si>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</si>
  <si>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</si>
  <si>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</si>
  <si>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</si>
  <si>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</si>
  <si>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</si>
  <si>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</si>
  <si>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</si>
  <si>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</si>
  <si>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</si>
  <si>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</si>
  <si>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</si>
  <si>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</si>
  <si>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</si>
  <si>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</si>
  <si>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</si>
  <si>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</si>
  <si>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</si>
  <si>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</si>
  <si>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</si>
  <si>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</si>
  <si>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</si>
  <si>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</si>
  <si>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</si>
  <si>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</si>
  <si>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</si>
  <si>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</si>
  <si>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</si>
  <si>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</si>
  <si>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</si>
  <si>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</si>
  <si>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</si>
  <si>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</si>
  <si>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</si>
  <si>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</si>
  <si>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</si>
  <si>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</si>
  <si>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</si>
  <si>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</si>
  <si>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</si>
  <si>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</si>
  <si>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</si>
  <si>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</si>
  <si>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</si>
  <si>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</si>
  <si>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</si>
  <si>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</si>
  <si>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</si>
  <si>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</si>
  <si>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</si>
  <si>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</si>
  <si>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</si>
  <si>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</si>
  <si>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</si>
  <si>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</si>
  <si>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</si>
  <si>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</si>
  <si>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</si>
  <si>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</si>
  <si>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</si>
  <si>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</si>
  <si>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</si>
  <si>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</si>
  <si>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</si>
  <si>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</si>
  <si>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</si>
  <si>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</si>
  <si>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</si>
  <si>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</si>
  <si>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</si>
  <si>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</si>
  <si>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</si>
  <si>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</si>
  <si>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</si>
  <si>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</si>
  <si>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</si>
  <si>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</si>
  <si>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</si>
  <si>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</si>
  <si>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</si>
  <si>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</si>
  <si>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</si>
  <si>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</si>
  <si>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</si>
  <si>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</si>
  <si>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</si>
  <si>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</si>
  <si>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</si>
  <si>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</si>
  <si>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</si>
  <si>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</si>
  <si>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</si>
  <si>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</si>
  <si>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</si>
  <si>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</si>
  <si>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</si>
  <si>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</si>
  <si>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</si>
  <si>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</si>
  <si>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</si>
  <si>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</si>
  <si>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</si>
  <si>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</si>
  <si>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</si>
  <si>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</si>
  <si>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</si>
  <si>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</si>
  <si>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</si>
  <si>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</si>
  <si>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</si>
  <si>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</si>
  <si>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</si>
  <si>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</si>
  <si>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</si>
  <si>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</si>
  <si>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</si>
  <si>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</si>
  <si>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</si>
  <si>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</si>
  <si>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</si>
  <si>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</si>
  <si>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</si>
  <si>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</si>
  <si>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</si>
  <si>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</si>
  <si>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</si>
  <si>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</si>
  <si>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</si>
  <si>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</si>
  <si>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</si>
  <si>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</si>
  <si>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</si>
  <si>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</si>
  <si>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</si>
  <si>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</si>
  <si>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</si>
  <si>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</si>
  <si>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</si>
  <si>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</si>
  <si>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</si>
  <si>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</si>
  <si>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</si>
  <si>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</si>
  <si>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</si>
  <si>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</si>
  <si>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</si>
  <si>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</si>
  <si>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</si>
  <si>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</si>
  <si>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</si>
  <si>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</si>
  <si>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</si>
  <si>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 xml:space="preserve"> lejahmal@gmail.com</t>
  </si>
  <si>
    <t xml:space="preserve">         // This source code is subject to the terms of GNU General Public License v3.0</t>
  </si>
  <si>
    <t>BID</t>
  </si>
  <si>
    <t>L</t>
  </si>
  <si>
    <t>CRUDE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</si>
</sst>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3" fontId="22" fillId="17" borderId="0" xfId="0" applyNumberFormat="1" applyFont="1" applyFill="1" applyBorder="1" applyAlignment="1" applyProtection="1">
      <alignment horizontal="center"/>
      <protection locked="0"/>
    </xf>
    <xf numFmtId="0" fontId="22" fillId="17" borderId="0" xfId="0" applyNumberFormat="1" applyFont="1" applyFill="1" applyBorder="1" applyAlignment="1" applyProtection="1">
      <alignment horizontal="center"/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80" zoomScaleNormal="80" workbookViewId="0">
      <selection activeCell="O24" sqref="O24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158</v>
      </c>
      <c r="D2" s="98" t="str">
        <f>IF(ABS(H9)&lt;=0.1,"STATIC","NOT STATIC")</f>
        <v>STATIC</v>
      </c>
      <c r="E2" s="142" t="s">
        <v>150</v>
      </c>
      <c r="F2" s="99" t="s">
        <v>159</v>
      </c>
      <c r="G2" s="100" t="s">
        <v>151</v>
      </c>
      <c r="H2" s="100">
        <v>1</v>
      </c>
      <c r="I2" s="100" t="s">
        <v>157</v>
      </c>
      <c r="J2" s="101"/>
      <c r="K2" s="101"/>
      <c r="L2" s="199" t="str">
        <f ca="1" xml:space="preserve"> "ORDERBOOK : " &amp; TEXT(TODAY(),"aaaa-mm-jj")</f>
        <v>ORDERBOOK : 2026-06-02</v>
      </c>
      <c r="M2" s="200"/>
      <c r="N2" s="105"/>
      <c r="O2" s="26"/>
      <c r="P2" s="105"/>
      <c r="Q2" s="198" t="s">
        <v>29</v>
      </c>
      <c r="R2" s="198"/>
      <c r="S2" s="198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201" t="s">
        <v>26</v>
      </c>
      <c r="H4" s="202"/>
      <c r="I4" s="4"/>
      <c r="J4" s="5"/>
      <c r="K4" s="20"/>
      <c r="L4" s="71">
        <f>IF(C2="P",Q4,S4)</f>
        <v>359.98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10.11</v>
      </c>
      <c r="R4" s="105"/>
      <c r="S4" s="105">
        <f>D6</f>
        <v>359.98</v>
      </c>
      <c r="T4" s="192"/>
    </row>
    <row r="5" spans="1:20" ht="21.75" thickBot="1" x14ac:dyDescent="0.4">
      <c r="B5" s="203" t="s">
        <v>1</v>
      </c>
      <c r="C5" s="42" t="s">
        <v>154</v>
      </c>
      <c r="D5" s="6">
        <v>10.11</v>
      </c>
      <c r="E5" s="7"/>
      <c r="F5" s="8" t="s">
        <v>147</v>
      </c>
      <c r="G5" s="9" t="str">
        <f>TEXT(H19&amp;" | "&amp;F18,0)</f>
        <v>344,6 | 340,4</v>
      </c>
      <c r="H5" s="10">
        <f>ABS(H19-F18)</f>
        <v>4.2000000000000455</v>
      </c>
      <c r="I5" s="11"/>
      <c r="J5" s="12"/>
      <c r="K5" s="20"/>
      <c r="L5" s="69" t="str">
        <f>IF(C2="P",Q5,TEXT( S5 &amp;" | " &amp;G19,"0,00"))</f>
        <v>340,4 | 349,9</v>
      </c>
      <c r="M5" s="103"/>
      <c r="N5" s="25"/>
      <c r="O5" s="179"/>
      <c r="P5" s="192"/>
      <c r="Q5" s="105">
        <f>H14</f>
        <v>30.2</v>
      </c>
      <c r="R5" s="105"/>
      <c r="S5" s="105">
        <f>F18</f>
        <v>340.4</v>
      </c>
      <c r="T5" s="192"/>
    </row>
    <row r="6" spans="1:20" ht="21" x14ac:dyDescent="0.35">
      <c r="B6" s="203"/>
      <c r="C6" s="43" t="s">
        <v>118</v>
      </c>
      <c r="D6" s="6">
        <v>359.98</v>
      </c>
      <c r="E6" s="7"/>
      <c r="F6" s="13"/>
      <c r="G6" s="3" t="str">
        <f>TEXT(" AOPV  | " &amp;ROUNDDOWN((((G15/F15)*100)-100),H2)&amp;" % ","0,00")</f>
        <v xml:space="preserve"> AOPV  | 5,5 % </v>
      </c>
      <c r="H6" s="38">
        <f>ABS(ROUNDDOWN(IF(C2="P",(F15-G15),(G15-F15)),H2))</f>
        <v>7.5</v>
      </c>
      <c r="I6" s="14"/>
      <c r="J6" s="15"/>
      <c r="K6" s="20"/>
      <c r="L6" s="71" t="str">
        <f>IF(C2="P",Q6,S6)</f>
        <v>BRK|313,6</v>
      </c>
      <c r="M6" s="103"/>
      <c r="N6" s="25"/>
      <c r="O6" s="180"/>
      <c r="P6" s="192"/>
      <c r="Q6" s="105">
        <f>G14</f>
        <v>55.199999999999989</v>
      </c>
      <c r="R6" s="105"/>
      <c r="S6" s="105" t="str">
        <f>I14</f>
        <v>BRK|313,6</v>
      </c>
      <c r="T6" s="192"/>
    </row>
    <row r="7" spans="1:20" x14ac:dyDescent="0.25">
      <c r="B7" s="203"/>
      <c r="C7" s="153" t="s">
        <v>2</v>
      </c>
      <c r="D7" s="154">
        <f>D5-D6</f>
        <v>-349.87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-45.089999999999989</v>
      </c>
      <c r="I7" s="14"/>
      <c r="J7" s="19"/>
      <c r="K7" s="20"/>
      <c r="L7" s="70" t="str">
        <f>IF(C2="P",Q7,S7)</f>
        <v>236+|295,5</v>
      </c>
      <c r="M7" s="103"/>
      <c r="N7" s="25"/>
      <c r="O7" s="181"/>
      <c r="P7" s="192"/>
      <c r="Q7" s="105">
        <f>D15</f>
        <v>73.099999999999994</v>
      </c>
      <c r="R7" s="105"/>
      <c r="S7" s="105" t="str">
        <f>I15</f>
        <v>236+|295,5</v>
      </c>
      <c r="T7" s="192"/>
    </row>
    <row r="8" spans="1:20" x14ac:dyDescent="0.25">
      <c r="A8" s="20"/>
      <c r="B8" s="203"/>
      <c r="C8" s="155" t="s">
        <v>4</v>
      </c>
      <c r="D8" s="155">
        <f>E16</f>
        <v>277.39999999999998</v>
      </c>
      <c r="E8" s="20"/>
      <c r="F8" s="20"/>
      <c r="G8" s="3" t="s">
        <v>5</v>
      </c>
      <c r="H8" s="21">
        <f>D5-H10</f>
        <v>-45.14</v>
      </c>
      <c r="I8" s="22"/>
      <c r="J8" s="19"/>
      <c r="K8" s="20"/>
      <c r="L8" s="72">
        <f>IF(C2="P",Q8,S8)</f>
        <v>286.89999999999998</v>
      </c>
      <c r="M8" s="103"/>
      <c r="N8" s="25"/>
      <c r="O8" s="180"/>
      <c r="P8" s="192"/>
      <c r="Q8" s="105" t="str">
        <f>S23</f>
        <v>COR|83,7</v>
      </c>
      <c r="R8" s="105"/>
      <c r="S8" s="105">
        <f>Q23</f>
        <v>286.89999999999998</v>
      </c>
      <c r="T8" s="192"/>
    </row>
    <row r="9" spans="1:20" ht="17.25" customHeight="1" x14ac:dyDescent="0.25">
      <c r="A9" s="20"/>
      <c r="B9" s="203"/>
      <c r="C9" s="153" t="s">
        <v>6</v>
      </c>
      <c r="D9" s="156">
        <f>D5-D8</f>
        <v>-267.28999999999996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BASE|277,4</v>
      </c>
      <c r="M9" s="103"/>
      <c r="N9" s="25"/>
      <c r="O9" s="184"/>
      <c r="P9" s="192"/>
      <c r="Q9" s="105" t="str">
        <f>S22</f>
        <v>BASE+|93,2</v>
      </c>
      <c r="R9" s="105"/>
      <c r="S9" s="105" t="str">
        <f>I20</f>
        <v>BASE|277,4</v>
      </c>
      <c r="T9" s="192"/>
    </row>
    <row r="10" spans="1:20" ht="18.75" x14ac:dyDescent="0.3">
      <c r="A10" s="20"/>
      <c r="B10" s="203"/>
      <c r="C10" s="157" t="s">
        <v>8</v>
      </c>
      <c r="D10" s="158">
        <f>ROUNDDOWN((G15-F19)/(1-0.236),H2)</f>
        <v>-375</v>
      </c>
      <c r="E10" s="20" t="s">
        <v>30</v>
      </c>
      <c r="F10" s="20"/>
      <c r="G10" s="3" t="s">
        <v>27</v>
      </c>
      <c r="H10" s="37">
        <v>55.25</v>
      </c>
      <c r="I10" s="20"/>
      <c r="J10" s="20"/>
      <c r="K10" s="20"/>
      <c r="L10" s="69" t="str">
        <f>IF(C2="P",Q10,S10)</f>
        <v>382+| 260</v>
      </c>
      <c r="M10" s="103"/>
      <c r="N10" s="25"/>
      <c r="O10" s="184"/>
      <c r="P10" s="192"/>
      <c r="Q10" s="105">
        <f>D16</f>
        <v>112.2</v>
      </c>
      <c r="R10" s="105"/>
      <c r="S10" s="105" t="str">
        <f>I16</f>
        <v>382+| 260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242.7</v>
      </c>
      <c r="M11" s="103"/>
      <c r="N11" s="25"/>
      <c r="O11" s="184"/>
      <c r="P11" s="192"/>
      <c r="Q11" s="105">
        <f>H15</f>
        <v>124.6</v>
      </c>
      <c r="R11" s="105"/>
      <c r="S11" s="105">
        <f>G17</f>
        <v>242.7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230.2</v>
      </c>
      <c r="M12" s="73">
        <f>IF(C2="P",Q13,D19)</f>
        <v>220.1</v>
      </c>
      <c r="N12" s="159"/>
      <c r="O12" s="180"/>
      <c r="P12" s="192"/>
      <c r="Q12" s="105">
        <f>F15</f>
        <v>136.19999999999999</v>
      </c>
      <c r="R12" s="105"/>
      <c r="S12" s="105">
        <f>H17</f>
        <v>230.2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>
        <f>IF(C2="P",S17,Q17)</f>
        <v>214.3</v>
      </c>
      <c r="N13" s="15"/>
      <c r="O13" s="184"/>
      <c r="P13" s="192"/>
      <c r="Q13" s="105">
        <f>G15</f>
        <v>143.69999999999999</v>
      </c>
      <c r="R13" s="105">
        <f>D17</f>
        <v>143.69999999999999</v>
      </c>
      <c r="S13" s="193">
        <f>D19</f>
        <v>220.1</v>
      </c>
      <c r="T13" s="192"/>
    </row>
    <row r="14" spans="1:20" ht="19.5" thickBot="1" x14ac:dyDescent="0.35">
      <c r="A14" s="20"/>
      <c r="B14" s="204" t="s">
        <v>115</v>
      </c>
      <c r="C14" s="28">
        <v>0</v>
      </c>
      <c r="D14" s="52">
        <f>D5</f>
        <v>10.11</v>
      </c>
      <c r="E14" s="52">
        <f>D5</f>
        <v>10.11</v>
      </c>
      <c r="F14" s="84">
        <f>D5</f>
        <v>10.11</v>
      </c>
      <c r="G14" s="178">
        <f>F19+D10</f>
        <v>55.199999999999989</v>
      </c>
      <c r="H14" s="96">
        <f>ROUNDDOWN((((H18-F19)/(1-0.618))+F19),H2)</f>
        <v>30.2</v>
      </c>
      <c r="I14" s="91" t="str">
        <f>TEXT("BRK|" &amp;ROUNDDOWN((F18+G18)/2,H2),"0,00")</f>
        <v>BRK|313,6</v>
      </c>
      <c r="J14" s="31"/>
      <c r="K14" s="20"/>
      <c r="L14" s="20"/>
      <c r="M14" s="109">
        <f>IF(C2="P",Q14,S14)</f>
        <v>198.4</v>
      </c>
      <c r="N14" s="15"/>
      <c r="O14" s="181"/>
      <c r="P14" s="192"/>
      <c r="Q14" s="105">
        <f>E15</f>
        <v>175.2</v>
      </c>
      <c r="R14" s="105">
        <f>D18</f>
        <v>175.2</v>
      </c>
      <c r="S14" s="105">
        <f>G16</f>
        <v>198.4</v>
      </c>
      <c r="T14" s="192"/>
    </row>
    <row r="15" spans="1:20" ht="19.5" customHeight="1" thickBot="1" x14ac:dyDescent="0.4">
      <c r="A15" s="20"/>
      <c r="B15" s="204"/>
      <c r="C15" s="28">
        <v>0.23599999999999999</v>
      </c>
      <c r="D15" s="89">
        <f>ROUNDDOWN((D5-(C15/1)*D9),H2)</f>
        <v>73.099999999999994</v>
      </c>
      <c r="E15" s="90">
        <f>ROUNDDOWN((D5-(C15/0.5)*D7),H2)</f>
        <v>175.2</v>
      </c>
      <c r="F15" s="87">
        <f>ROUNDDOWN((D5-(C15/0.5)*D9),H2)</f>
        <v>136.19999999999999</v>
      </c>
      <c r="G15" s="88">
        <f>D17</f>
        <v>143.69999999999999</v>
      </c>
      <c r="H15" s="162">
        <f>ROUNDDOWN(H14-((C15/1)*(H14-F19)),H2)</f>
        <v>124.6</v>
      </c>
      <c r="I15" s="53" t="str">
        <f>TEXT("236+|" &amp;ROUNDDOWN((D8+(F18+G18)/2)/2,H2),"0,00")</f>
        <v>236+|295,5</v>
      </c>
      <c r="J15" s="32"/>
      <c r="K15" s="20"/>
      <c r="L15" s="20"/>
      <c r="M15" s="110">
        <f>Q15</f>
        <v>183</v>
      </c>
      <c r="N15" s="160"/>
      <c r="O15" s="184"/>
      <c r="P15" s="192"/>
      <c r="Q15" s="193">
        <f>H16</f>
        <v>183</v>
      </c>
      <c r="R15" s="193">
        <f>H16</f>
        <v>183</v>
      </c>
      <c r="S15" s="193">
        <f>H16</f>
        <v>183</v>
      </c>
      <c r="T15" s="192"/>
    </row>
    <row r="16" spans="1:20" x14ac:dyDescent="0.25">
      <c r="B16" s="204"/>
      <c r="C16" s="28">
        <v>0.38200000000000001</v>
      </c>
      <c r="D16" s="54">
        <f>ROUNDDOWN((D5-(C16/1)*D9),H2)</f>
        <v>112.2</v>
      </c>
      <c r="E16" s="65">
        <f>ROUNDDOWN((D5-(C16/0.5)*D7),H2)</f>
        <v>277.39999999999998</v>
      </c>
      <c r="F16" s="85">
        <f>ROUNDDOWN((D5-(C16/0.5)*D9),H2)</f>
        <v>214.3</v>
      </c>
      <c r="G16" s="86">
        <f>ROUNDDOWN((F19+D10)-((C16/1)*D10),H2)</f>
        <v>198.4</v>
      </c>
      <c r="H16" s="55">
        <f>ROUNDDOWN(H14-((C16/1)*(H14-F19)),H2)</f>
        <v>183</v>
      </c>
      <c r="I16" s="45" t="str">
        <f>TEXT("382+| " &amp;ROUNDDOWN((G17+D8)/2,H2),"0,00")</f>
        <v>382+| 260</v>
      </c>
      <c r="J16" s="32"/>
      <c r="K16" s="20"/>
      <c r="L16" s="20"/>
      <c r="M16" s="111">
        <f>IF(C2="P",Q16,S16)</f>
        <v>175.2</v>
      </c>
      <c r="N16" s="15"/>
      <c r="O16" s="184"/>
      <c r="P16" s="192"/>
      <c r="Q16" s="105">
        <f>S14</f>
        <v>198.4</v>
      </c>
      <c r="R16" s="105"/>
      <c r="S16" s="105">
        <f>Q14</f>
        <v>175.2</v>
      </c>
      <c r="T16" s="192"/>
    </row>
    <row r="17" spans="1:20" ht="15.75" thickBot="1" x14ac:dyDescent="0.3">
      <c r="B17" s="204"/>
      <c r="C17" s="28">
        <v>0.5</v>
      </c>
      <c r="D17" s="56">
        <f>ROUNDDOWN((D5-(C17/1)*D9),H2)</f>
        <v>143.69999999999999</v>
      </c>
      <c r="E17" s="46">
        <f>ROUNDDOWN((D5-(C17/0.5)*D7),H2)</f>
        <v>359.9</v>
      </c>
      <c r="F17" s="65">
        <f>ROUNDDOWN((D5-(C17/0.5)*D9),H2)</f>
        <v>277.39999999999998</v>
      </c>
      <c r="G17" s="161">
        <f>ROUNDDOWN((F19+D10)-((C17/1)*D10),H2)</f>
        <v>242.7</v>
      </c>
      <c r="H17" s="57">
        <f>ROUNDDOWN(H14-((C17/1)*(H14-F19)),H2)</f>
        <v>230.2</v>
      </c>
      <c r="I17" s="78" t="str">
        <f>TEXT("GAP|" &amp;ROUNDDOWN((D17+D18)/2,H2),"0,00")</f>
        <v>GAP|159,4</v>
      </c>
      <c r="J17" s="33"/>
      <c r="K17" s="20"/>
      <c r="L17" s="20"/>
      <c r="M17" s="108" t="str">
        <f>IF(C2="P",Q17,S17)</f>
        <v>GAP|159,4</v>
      </c>
      <c r="N17" s="15"/>
      <c r="O17" s="184"/>
      <c r="P17" s="192"/>
      <c r="Q17" s="105">
        <f>F16</f>
        <v>214.3</v>
      </c>
      <c r="R17" s="105"/>
      <c r="S17" s="105" t="str">
        <f>I17</f>
        <v>GAP|159,4</v>
      </c>
      <c r="T17" s="192"/>
    </row>
    <row r="18" spans="1:20" ht="18.75" x14ac:dyDescent="0.3">
      <c r="B18" s="204"/>
      <c r="C18" s="28">
        <v>0.61799999999999999</v>
      </c>
      <c r="D18" s="58">
        <f>ROUNDDOWN((D5-(C18/1)*D9),H2)</f>
        <v>175.2</v>
      </c>
      <c r="E18" s="92">
        <f>ROUNDDOWN((D5-(C18/0.5)*D7),H2)</f>
        <v>442.5</v>
      </c>
      <c r="F18" s="44">
        <f>ROUNDDOWN((D5-(C18/0.5)*D9),H2)</f>
        <v>340.4</v>
      </c>
      <c r="G18" s="59">
        <f>ROUNDDOWN((F19+D10)-((C18/1)*D10),H2)</f>
        <v>286.89999999999998</v>
      </c>
      <c r="H18" s="63">
        <f>D8</f>
        <v>277.39999999999998</v>
      </c>
      <c r="I18" s="79" t="str">
        <f>TEXT("COR|" &amp;ROUNDDOWN((D16+G14)/2,H2),"0,00")</f>
        <v>COR|83,7</v>
      </c>
      <c r="J18" s="34"/>
      <c r="K18" s="20"/>
      <c r="L18" s="20"/>
      <c r="M18" s="76">
        <f>IF(C2="P",Q18,S18)</f>
        <v>143.69999999999999</v>
      </c>
      <c r="N18" s="159"/>
      <c r="O18" s="180"/>
      <c r="P18" s="192"/>
      <c r="Q18" s="105">
        <f>D19</f>
        <v>220.1</v>
      </c>
      <c r="R18" s="105"/>
      <c r="S18" s="105">
        <f>D17</f>
        <v>143.69999999999999</v>
      </c>
      <c r="T18" s="192"/>
    </row>
    <row r="19" spans="1:20" ht="19.5" thickBot="1" x14ac:dyDescent="0.35">
      <c r="B19" s="204"/>
      <c r="C19" s="28">
        <v>0.78600000000000003</v>
      </c>
      <c r="D19" s="60">
        <f>ROUNDDOWN((D5-(C19/1)*D9),H2)</f>
        <v>220.1</v>
      </c>
      <c r="E19" s="64">
        <f>ROUNDDOWN((D5-(C19/0.5)*D7),H2)</f>
        <v>560.1</v>
      </c>
      <c r="F19" s="93">
        <f>ROUNDDOWN((D5-(C19/0.5)*D9),H2)</f>
        <v>430.2</v>
      </c>
      <c r="G19" s="61">
        <f>ROUNDDOWN((F19+D10)-((C19/1)*D10),H2)</f>
        <v>349.9</v>
      </c>
      <c r="H19" s="62">
        <f>ROUNDDOWN(H14-((C19/1)*(H14-F19)),H2)</f>
        <v>344.6</v>
      </c>
      <c r="I19" s="66" t="str">
        <f>TEXT("BASE+|"&amp;IF(C2="P",((D16+G14)/2)+(G18-D8),((D16+G14)/2)-(D8-G18)),"0,00")</f>
        <v>BASE+|93,2</v>
      </c>
      <c r="J19" s="35"/>
      <c r="K19" s="20"/>
      <c r="L19" s="20"/>
      <c r="M19" s="77">
        <f>IF(C2="P",Q19,S19)</f>
        <v>136.19999999999999</v>
      </c>
      <c r="N19" s="159"/>
      <c r="O19" s="184"/>
      <c r="P19" s="192"/>
      <c r="Q19" s="105">
        <f>S12</f>
        <v>230.2</v>
      </c>
      <c r="R19" s="105"/>
      <c r="S19" s="105">
        <f>Q12</f>
        <v>136.19999999999999</v>
      </c>
      <c r="T19" s="192"/>
    </row>
    <row r="20" spans="1:20" x14ac:dyDescent="0.25">
      <c r="B20" s="204"/>
      <c r="C20" s="28">
        <v>1</v>
      </c>
      <c r="D20" s="65">
        <f>D8</f>
        <v>277.39999999999998</v>
      </c>
      <c r="E20" s="64">
        <f>ROUNDDOWN((D5-(C20/0.5)*D7),H2)</f>
        <v>709.8</v>
      </c>
      <c r="F20" s="64">
        <f>ROUNDDOWN((D5-(C20/0.5)*D9),H2)</f>
        <v>544.6</v>
      </c>
      <c r="G20" s="94">
        <f>F19</f>
        <v>430.2</v>
      </c>
      <c r="H20" s="95">
        <f>ROUNDDOWN(H14-((C20/1)*(H14-F19)),H2)</f>
        <v>430.2</v>
      </c>
      <c r="I20" s="66" t="str">
        <f>TEXT("BASE|" &amp;D8,"0,00")</f>
        <v>BASE|277,4</v>
      </c>
      <c r="J20" s="36"/>
      <c r="K20" s="20"/>
      <c r="L20" s="20"/>
      <c r="M20" s="112">
        <f>IF(C2="P",Q20,S20)</f>
        <v>124.6</v>
      </c>
      <c r="N20" s="15"/>
      <c r="O20" s="184"/>
      <c r="P20" s="192"/>
      <c r="Q20" s="105">
        <f>S11</f>
        <v>242.7</v>
      </c>
      <c r="R20" s="105"/>
      <c r="S20" s="105">
        <f>Q11</f>
        <v>124.6</v>
      </c>
      <c r="T20" s="192"/>
    </row>
    <row r="21" spans="1:20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>
        <f>IF(C2="P",Q21,S21)</f>
        <v>112.2</v>
      </c>
      <c r="N21" s="15"/>
      <c r="O21" s="184"/>
      <c r="P21" s="192"/>
      <c r="Q21" s="105" t="str">
        <f>S10</f>
        <v>382+| 260</v>
      </c>
      <c r="R21" s="105"/>
      <c r="S21" s="105">
        <f>Q10</f>
        <v>112.2</v>
      </c>
      <c r="T21" s="192"/>
    </row>
    <row r="22" spans="1:20" ht="21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BASE+|93,2</v>
      </c>
      <c r="N22" s="15"/>
      <c r="O22" s="183" t="s">
        <v>152</v>
      </c>
      <c r="P22" s="192"/>
      <c r="Q22" s="105" t="str">
        <f>I20</f>
        <v>BASE|277,4</v>
      </c>
      <c r="R22" s="105"/>
      <c r="S22" s="105" t="str">
        <f>I19</f>
        <v>BASE+|93,2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 t="str">
        <f>IF(C2="P",Q23,S23)</f>
        <v>COR|83,7</v>
      </c>
      <c r="N23" s="15"/>
      <c r="O23" s="182"/>
      <c r="P23" s="192"/>
      <c r="Q23" s="105">
        <f>G18</f>
        <v>286.89999999999998</v>
      </c>
      <c r="R23" s="105"/>
      <c r="S23" s="105" t="str">
        <f>I18</f>
        <v>COR|83,7</v>
      </c>
      <c r="T23" s="192"/>
    </row>
    <row r="24" spans="1:20" ht="21.75" customHeight="1" x14ac:dyDescent="0.3">
      <c r="A24" s="20"/>
      <c r="B24" s="196" t="s">
        <v>24</v>
      </c>
      <c r="C24" s="115" t="str">
        <f>TEXT("["&amp;ROUNDDOWN((((H24/G24)*100)-100),2)&amp;" %] ","0,00")</f>
        <v xml:space="preserve">[96,58 %] </v>
      </c>
      <c r="D24" s="81">
        <v>1</v>
      </c>
      <c r="E24" s="81">
        <v>20</v>
      </c>
      <c r="F24" s="82">
        <f>G24*D24/E24</f>
        <v>3.6549999999999998</v>
      </c>
      <c r="G24" s="195">
        <v>73.099999999999994</v>
      </c>
      <c r="H24" s="195">
        <v>143.69999999999999</v>
      </c>
      <c r="I24" s="195">
        <v>55.2</v>
      </c>
      <c r="J24" s="83">
        <f>(G24-I24)*D24</f>
        <v>17.899999999999991</v>
      </c>
      <c r="K24" s="174">
        <f>(H24-G24)*D24</f>
        <v>70.599999999999994</v>
      </c>
      <c r="L24" s="20"/>
      <c r="M24" s="108">
        <f>IF(C2="P",Q24,S24)</f>
        <v>73.099999999999994</v>
      </c>
      <c r="N24" s="15"/>
      <c r="O24" s="182"/>
      <c r="P24" s="192"/>
      <c r="Q24" s="105" t="str">
        <f>S7</f>
        <v>236+|295,5</v>
      </c>
      <c r="R24" s="105"/>
      <c r="S24" s="105">
        <f>Q7</f>
        <v>73.099999999999994</v>
      </c>
      <c r="T24" s="192"/>
    </row>
    <row r="25" spans="1:20" ht="21" customHeight="1" x14ac:dyDescent="0.3">
      <c r="B25" s="196"/>
      <c r="C25" s="115"/>
      <c r="D25" s="81"/>
      <c r="E25" s="81"/>
      <c r="F25" s="82"/>
      <c r="G25" s="194"/>
      <c r="H25" s="194"/>
      <c r="I25" s="194"/>
      <c r="J25" s="83"/>
      <c r="K25" s="174"/>
      <c r="L25" s="20"/>
      <c r="M25" s="113">
        <f>IF(C2="P",Q25,S25)</f>
        <v>55.199999999999989</v>
      </c>
      <c r="N25" s="15"/>
      <c r="O25" s="180"/>
      <c r="P25" s="192"/>
      <c r="Q25" s="105" t="str">
        <f>S6</f>
        <v>BRK|313,6</v>
      </c>
      <c r="R25" s="105"/>
      <c r="S25" s="105">
        <f>Q6</f>
        <v>55.199999999999989</v>
      </c>
      <c r="T25" s="192"/>
    </row>
    <row r="26" spans="1:20" ht="19.5" customHeight="1" x14ac:dyDescent="0.3">
      <c r="B26" s="196"/>
      <c r="C26" s="115"/>
      <c r="D26" s="81"/>
      <c r="E26" s="81"/>
      <c r="F26" s="82"/>
      <c r="G26" s="194"/>
      <c r="H26" s="194"/>
      <c r="I26" s="194"/>
      <c r="J26" s="83"/>
      <c r="K26" s="174"/>
      <c r="L26" s="20"/>
      <c r="M26" s="109">
        <f>IF(C2="P",TEXT( Q26 &amp;" | " &amp;G19,"0,00"),S26)</f>
        <v>30.2</v>
      </c>
      <c r="N26" s="15"/>
      <c r="O26" s="182"/>
      <c r="P26" s="192"/>
      <c r="Q26" s="105">
        <f>F18</f>
        <v>340.4</v>
      </c>
      <c r="R26" s="105"/>
      <c r="S26" s="105">
        <f>H14</f>
        <v>30.2</v>
      </c>
      <c r="T26" s="192"/>
    </row>
    <row r="27" spans="1:20" ht="19.5" thickBot="1" x14ac:dyDescent="0.35">
      <c r="B27" s="197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10.11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359.9</v>
      </c>
      <c r="R27" s="105"/>
      <c r="S27" s="105">
        <f>E14</f>
        <v>10.11</v>
      </c>
      <c r="T27" s="192"/>
    </row>
    <row r="28" spans="1:20" ht="15.75" x14ac:dyDescent="0.25">
      <c r="B28" s="75"/>
      <c r="C28" s="116"/>
      <c r="D28" s="117"/>
      <c r="E28" s="175">
        <f>IF(ISNUMBER(SEARCH("|", M24)), MID(M24,FIND("|",M24,1)+1,LEN(M24)), M24)</f>
        <v>73.099999999999994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M7" sqref="M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156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155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2026-06-02T21:53:38Z</dcterms:modified>
</cp:coreProperties>
</file>