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STANDARD STUDY CASE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1" l="1"/>
  <c r="S4" i="1"/>
  <c r="L2" i="1" l="1"/>
  <c r="C180" i="2" l="1"/>
  <c r="D14" i="1"/>
  <c r="F14" i="1"/>
  <c r="E14" i="1"/>
  <c r="S27" i="1" s="1"/>
  <c r="H8" i="1"/>
  <c r="D7" i="1"/>
  <c r="E18" i="1" s="1"/>
  <c r="E16" i="1" l="1"/>
  <c r="D8" i="1" s="1"/>
  <c r="D9" i="1" s="1"/>
  <c r="E19" i="1"/>
  <c r="L4" i="1"/>
  <c r="E17" i="1"/>
  <c r="E15" i="1"/>
  <c r="Q14" i="1" s="1"/>
  <c r="S16" i="1" s="1"/>
  <c r="E20" i="1"/>
  <c r="Q27" i="1" l="1"/>
  <c r="M27" i="1" s="1"/>
  <c r="H18" i="1"/>
  <c r="I20" i="1"/>
  <c r="D20" i="1"/>
  <c r="F16" i="1"/>
  <c r="Q17" i="1" s="1"/>
  <c r="D17" i="1"/>
  <c r="F17" i="1"/>
  <c r="D15" i="1"/>
  <c r="Q7" i="1" s="1"/>
  <c r="S24" i="1" s="1"/>
  <c r="F18" i="1"/>
  <c r="D16" i="1"/>
  <c r="Q10" i="1" s="1"/>
  <c r="S21" i="1" s="1"/>
  <c r="F20" i="1"/>
  <c r="D19" i="1"/>
  <c r="D18" i="1"/>
  <c r="R14" i="1" s="1"/>
  <c r="F15" i="1"/>
  <c r="Q12" i="1" s="1"/>
  <c r="S19" i="1" s="1"/>
  <c r="F19" i="1"/>
  <c r="Q18" i="1" l="1"/>
  <c r="S13" i="1"/>
  <c r="S5" i="1"/>
  <c r="Q26" i="1"/>
  <c r="R13" i="1"/>
  <c r="S18" i="1"/>
  <c r="Q22" i="1"/>
  <c r="S9" i="1"/>
  <c r="G20" i="1"/>
  <c r="G15" i="1"/>
  <c r="I17" i="1"/>
  <c r="H14" i="1"/>
  <c r="S17" i="1" l="1"/>
  <c r="M13" i="1" s="1"/>
  <c r="H6" i="1"/>
  <c r="Q13" i="1"/>
  <c r="M12" i="1" s="1"/>
  <c r="S26" i="1"/>
  <c r="Q5" i="1"/>
  <c r="M18" i="1"/>
  <c r="H19" i="1"/>
  <c r="H20" i="1"/>
  <c r="H17" i="1"/>
  <c r="S12" i="1" s="1"/>
  <c r="Q19" i="1" s="1"/>
  <c r="H15" i="1"/>
  <c r="Q11" i="1" s="1"/>
  <c r="S20" i="1" s="1"/>
  <c r="H16" i="1"/>
  <c r="G6" i="1"/>
  <c r="D10" i="1"/>
  <c r="M17" i="1" l="1"/>
  <c r="Q15" i="1"/>
  <c r="M15" i="1" s="1"/>
  <c r="S15" i="1"/>
  <c r="R15" i="1"/>
  <c r="M19" i="1"/>
  <c r="L12" i="1"/>
  <c r="G5" i="1"/>
  <c r="H5" i="1"/>
  <c r="G14" i="1"/>
  <c r="G17" i="1"/>
  <c r="G19" i="1"/>
  <c r="M26" i="1" s="1"/>
  <c r="G18" i="1"/>
  <c r="Q23" i="1" s="1"/>
  <c r="S8" i="1" s="1"/>
  <c r="G16" i="1"/>
  <c r="S14" i="1" s="1"/>
  <c r="Q16" i="1" s="1"/>
  <c r="H7" i="1" l="1"/>
  <c r="H9" i="1" s="1"/>
  <c r="D2" i="1" s="1"/>
  <c r="Q6" i="1"/>
  <c r="S25" i="1" s="1"/>
  <c r="I16" i="1"/>
  <c r="S10" i="1" s="1"/>
  <c r="Q21" i="1" s="1"/>
  <c r="S11" i="1"/>
  <c r="Q20" i="1" s="1"/>
  <c r="M16" i="1"/>
  <c r="M14" i="1"/>
  <c r="L5" i="1"/>
  <c r="I15" i="1"/>
  <c r="S7" i="1" s="1"/>
  <c r="Q24" i="1" s="1"/>
  <c r="I14" i="1"/>
  <c r="S6" i="1" s="1"/>
  <c r="Q25" i="1" s="1"/>
  <c r="I19" i="1"/>
  <c r="I18" i="1"/>
  <c r="S23" i="1" s="1"/>
  <c r="Q8" i="1" s="1"/>
  <c r="S22" i="1" l="1"/>
  <c r="Q9" i="1" s="1"/>
  <c r="L9" i="1" s="1"/>
  <c r="M23" i="1"/>
  <c r="O27" i="1"/>
  <c r="O4" i="1"/>
  <c r="M20" i="1"/>
  <c r="L11" i="1"/>
  <c r="C24" i="1"/>
  <c r="J24" i="1"/>
  <c r="F24" i="1"/>
  <c r="K24" i="1"/>
  <c r="M21" i="1"/>
  <c r="L10" i="1"/>
  <c r="M24" i="1"/>
  <c r="E28" i="1" s="1"/>
  <c r="L7" i="1"/>
  <c r="M25" i="1"/>
  <c r="L6" i="1"/>
  <c r="M22" i="1" l="1"/>
  <c r="L8" i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<sst xmlns="http://schemas.openxmlformats.org/spreadsheetml/2006/main" count="163" uniqueCount="160">
  <si>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</si>
  <si>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</si>
  <si>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</si>
  <si>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</si>
  <si>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</si>
  <si>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</si>
  <si>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</si>
  <si>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</si>
  <si>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</si>
  <si>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</si>
  <si>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</si>
  <si>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</si>
  <si>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</si>
  <si>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</si>
  <si>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</si>
  <si>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</si>
  <si>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</si>
  <si>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</si>
  <si>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</si>
  <si>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</si>
  <si>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</si>
  <si>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</si>
  <si>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</si>
  <si>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</si>
  <si>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</si>
  <si>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</si>
  <si>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</si>
  <si>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</si>
  <si>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</si>
  <si>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</si>
  <si>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</si>
  <si>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</si>
  <si>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</si>
  <si>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</si>
  <si>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</si>
  <si>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</si>
  <si>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</si>
  <si>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</si>
  <si>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</si>
  <si>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</si>
  <si>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</si>
  <si>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</si>
  <si>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</si>
  <si>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</si>
  <si>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</si>
  <si>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</si>
  <si>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</si>
  <si>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</si>
  <si>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</si>
  <si>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</si>
  <si>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</si>
  <si>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</si>
  <si>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</si>
  <si>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</si>
  <si>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</si>
  <si>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</si>
  <si>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</si>
  <si>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</si>
  <si>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</si>
  <si>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</si>
  <si>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</si>
  <si>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</si>
  <si>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</si>
  <si>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</si>
  <si>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</si>
  <si>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</si>
  <si>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</si>
  <si>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</si>
  <si>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</si>
  <si>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</si>
  <si>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</si>
  <si>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</si>
  <si>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</si>
  <si>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</si>
  <si>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</si>
  <si>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</si>
  <si>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</si>
  <si>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</si>
  <si>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</si>
  <si>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>// on dis alors que le marche A "CEDER A LA PRESSION DES CONTRAIRE". les dominants du marche on alors perdu la main et le prix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</si>
  <si>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</si>
  <si>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</si>
  <si>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</si>
  <si>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</si>
  <si>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</si>
  <si>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</si>
  <si>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</si>
  <si>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</si>
  <si>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 xml:space="preserve">// ici le princique est que lorsque le marcche ouvre la séance hors de la zone de tension dans le sens de la tendance, </t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</si>
  <si>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</si>
  <si>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</si>
  <si>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</si>
  <si>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</si>
  <si>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</si>
  <si>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</si>
  <si>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</si>
  <si>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</si>
  <si>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</si>
  <si>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</si>
  <si>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</si>
  <si>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</si>
  <si>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</si>
  <si>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</si>
  <si>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</si>
  <si>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</si>
  <si>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</si>
  <si>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</si>
  <si>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</si>
  <si>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</si>
  <si>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</si>
  <si>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</si>
  <si>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</si>
  <si>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</si>
  <si>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</si>
  <si>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</si>
  <si>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</si>
  <si>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</si>
  <si>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</si>
  <si>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</si>
  <si>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</si>
  <si>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</si>
  <si>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</si>
  <si>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</si>
  <si>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</si>
  <si>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</si>
  <si>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</si>
  <si>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</si>
  <si>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</si>
  <si>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</si>
  <si>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</si>
  <si>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</si>
  <si>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</si>
  <si>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</si>
  <si>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</si>
  <si>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</si>
  <si>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</si>
  <si>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</si>
  <si>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</si>
  <si>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</si>
  <si>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</si>
  <si>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</si>
  <si>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</si>
  <si>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</si>
  <si>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</si>
  <si>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</si>
  <si>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</si>
  <si>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</si>
  <si>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</si>
  <si>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</si>
  <si>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</si>
  <si>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</si>
  <si>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</si>
  <si>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</si>
  <si>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</si>
  <si>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</si>
  <si>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>BID</t>
  </si>
  <si>
    <t xml:space="preserve"> lejahmal@gmail.com</t>
  </si>
  <si>
    <t xml:space="preserve">         // This source code is subject to the terms of GNU General Public License v3.0</t>
  </si>
  <si>
    <t>L</t>
  </si>
  <si>
    <t>SOL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</si>
</sst>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i/>
      <sz val="10"/>
      <color theme="0"/>
      <name val="Calibri"/>
      <family val="2"/>
      <scheme val="minor"/>
    </font>
    <font>
      <b/>
      <sz val="12"/>
      <color rgb="FF1F2328"/>
      <name val="Segoe UI"/>
      <family val="2"/>
    </font>
    <font>
      <sz val="12"/>
      <color rgb="FF1F2328"/>
      <name val="Segoe UI"/>
      <family val="2"/>
    </font>
    <font>
      <sz val="10"/>
      <color rgb="FF1F2328"/>
      <name val="Symbol"/>
      <family val="1"/>
      <charset val="2"/>
    </font>
    <font>
      <b/>
      <sz val="10"/>
      <color rgb="FF1F2328"/>
      <name val="Courier New"/>
      <family val="3"/>
    </font>
    <font>
      <sz val="10"/>
      <color rgb="FF1F2328"/>
      <name val="Courier New"/>
      <family val="3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29" fillId="2" borderId="15" xfId="0" applyFont="1" applyFill="1" applyBorder="1"/>
    <xf numFmtId="0" fontId="29" fillId="2" borderId="35" xfId="0" applyFont="1" applyFill="1" applyBorder="1"/>
    <xf numFmtId="0" fontId="20" fillId="0" borderId="35" xfId="0" applyFont="1" applyBorder="1"/>
    <xf numFmtId="0" fontId="20" fillId="0" borderId="36" xfId="0" applyFont="1" applyBorder="1"/>
    <xf numFmtId="0" fontId="20" fillId="0" borderId="37" xfId="0" applyFont="1" applyFill="1" applyBorder="1"/>
    <xf numFmtId="0" fontId="20" fillId="0" borderId="0" xfId="0" applyFont="1" applyBorder="1"/>
    <xf numFmtId="0" fontId="20" fillId="0" borderId="38" xfId="0" applyFont="1" applyBorder="1"/>
    <xf numFmtId="0" fontId="26" fillId="0" borderId="37" xfId="0" applyFont="1" applyFill="1" applyBorder="1" applyAlignment="1">
      <alignment vertical="center"/>
    </xf>
    <xf numFmtId="0" fontId="31" fillId="0" borderId="0" xfId="0" applyFont="1" applyBorder="1"/>
    <xf numFmtId="0" fontId="0" fillId="0" borderId="37" xfId="0" applyFill="1" applyBorder="1" applyAlignment="1">
      <alignment vertical="center"/>
    </xf>
    <xf numFmtId="0" fontId="25" fillId="0" borderId="3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3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39" xfId="0" applyFont="1" applyFill="1" applyBorder="1"/>
    <xf numFmtId="0" fontId="20" fillId="0" borderId="40" xfId="0" applyFont="1" applyBorder="1"/>
    <xf numFmtId="0" fontId="20" fillId="0" borderId="41" xfId="0" applyFont="1" applyBorder="1"/>
    <xf numFmtId="0" fontId="30" fillId="0" borderId="0" xfId="1" applyFill="1" applyBorder="1" applyAlignment="1">
      <alignment vertical="center"/>
    </xf>
    <xf numFmtId="0" fontId="33" fillId="0" borderId="37" xfId="0" applyFont="1" applyFill="1" applyBorder="1"/>
    <xf numFmtId="0" fontId="34" fillId="0" borderId="0" xfId="0" applyFont="1" applyBorder="1"/>
    <xf numFmtId="0" fontId="34" fillId="0" borderId="3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>
      <alignment vertical="center"/>
    </xf>
    <xf numFmtId="0" fontId="34" fillId="0" borderId="37" xfId="0" applyFont="1" applyFill="1" applyBorder="1"/>
    <xf numFmtId="0" fontId="35" fillId="0" borderId="37" xfId="0" applyFont="1" applyFill="1" applyBorder="1" applyAlignment="1">
      <alignment vertical="center"/>
    </xf>
    <xf numFmtId="0" fontId="4" fillId="0" borderId="42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4" fillId="17" borderId="45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37" fillId="0" borderId="1" xfId="0" applyFont="1" applyBorder="1"/>
    <xf numFmtId="0" fontId="37" fillId="0" borderId="12" xfId="0" applyFont="1" applyFill="1" applyBorder="1"/>
    <xf numFmtId="0" fontId="37" fillId="15" borderId="1" xfId="0" applyFont="1" applyFill="1" applyBorder="1"/>
    <xf numFmtId="0" fontId="37" fillId="0" borderId="1" xfId="0" applyFont="1" applyFill="1" applyBorder="1"/>
    <xf numFmtId="0" fontId="37" fillId="0" borderId="2" xfId="0" applyFont="1" applyBorder="1"/>
    <xf numFmtId="0" fontId="37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5" fillId="5" borderId="3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3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3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3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4" fillId="4" borderId="4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0" fontId="39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left" indent="1"/>
    </xf>
    <xf numFmtId="0" fontId="40" fillId="0" borderId="0" xfId="0" applyFont="1" applyAlignment="1">
      <alignment horizontal="left" indent="1"/>
    </xf>
    <xf numFmtId="0" fontId="41" fillId="0" borderId="0" xfId="0" applyFont="1" applyAlignment="1">
      <alignment horizontal="left" indent="1"/>
    </xf>
    <xf numFmtId="0" fontId="42" fillId="0" borderId="0" xfId="0" applyFont="1" applyAlignment="1">
      <alignment horizontal="left" indent="1"/>
    </xf>
    <xf numFmtId="0" fontId="43" fillId="0" borderId="0" xfId="0" applyFont="1" applyAlignment="1">
      <alignment horizontal="left" indent="1"/>
    </xf>
    <xf numFmtId="0" fontId="44" fillId="0" borderId="0" xfId="0" applyFont="1" applyAlignment="1">
      <alignment horizontal="left" indent="1"/>
    </xf>
    <xf numFmtId="0" fontId="20" fillId="0" borderId="0" xfId="0" applyFont="1" applyFill="1" applyBorder="1"/>
    <xf numFmtId="0" fontId="4" fillId="0" borderId="0" xfId="0" applyFont="1" applyFill="1" applyBorder="1"/>
    <xf numFmtId="0" fontId="6" fillId="0" borderId="0" xfId="0" applyFont="1" applyFill="1" applyBorder="1" applyAlignment="1">
      <alignment horizontal="center"/>
    </xf>
    <xf numFmtId="3" fontId="22" fillId="17" borderId="0" xfId="0" applyNumberFormat="1" applyFont="1" applyFill="1" applyBorder="1" applyAlignment="1" applyProtection="1">
      <alignment horizontal="center"/>
      <protection locked="0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0" fontId="4" fillId="2" borderId="27" xfId="0" quotePrefix="1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  <xf numFmtId="0" fontId="22" fillId="17" borderId="0" xfId="0" applyNumberFormat="1" applyFont="1" applyFill="1" applyBorder="1" applyAlignment="1" applyProtection="1">
      <alignment horizontal="center"/>
      <protection locked="0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628650</xdr:colOff>
      <xdr:row>185</xdr:row>
      <xdr:rowOff>123825</xdr:rowOff>
    </xdr:from>
    <xdr:to>
      <xdr:col>14</xdr:col>
      <xdr:colOff>106099</xdr:colOff>
      <xdr:row>227</xdr:row>
      <xdr:rowOff>77087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" y="30680025"/>
          <a:ext cx="9488224" cy="6354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37"/>
  <sheetViews>
    <sheetView tabSelected="1" zoomScale="80" zoomScaleNormal="80" workbookViewId="0">
      <selection activeCell="I24" sqref="I24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0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20" ht="15.75" thickBot="1" x14ac:dyDescent="0.3">
      <c r="P1" s="192"/>
      <c r="Q1" s="192"/>
      <c r="R1" s="192"/>
      <c r="S1" s="192"/>
      <c r="T1" s="192"/>
    </row>
    <row r="2" spans="1:20" ht="15.75" x14ac:dyDescent="0.25">
      <c r="B2" s="97"/>
      <c r="C2" s="99" t="s">
        <v>158</v>
      </c>
      <c r="D2" s="98" t="str">
        <f>IF(ABS(H9)&lt;=0.1,"STATIC","NOT STATIC")</f>
        <v>STATIC</v>
      </c>
      <c r="E2" s="142" t="s">
        <v>150</v>
      </c>
      <c r="F2" s="99" t="s">
        <v>159</v>
      </c>
      <c r="G2" s="100" t="s">
        <v>151</v>
      </c>
      <c r="H2" s="100">
        <v>3</v>
      </c>
      <c r="I2" s="100" t="s">
        <v>155</v>
      </c>
      <c r="J2" s="101"/>
      <c r="K2" s="101"/>
      <c r="L2" s="198" t="str">
        <f ca="1" xml:space="preserve"> "ORDERBOOK : " &amp; TEXT(TODAY(),"aaaa-mm-jj")</f>
        <v>ORDERBOOK : 2026-05-30</v>
      </c>
      <c r="M2" s="199"/>
      <c r="N2" s="105"/>
      <c r="O2" s="26"/>
      <c r="P2" s="105"/>
      <c r="Q2" s="197" t="s">
        <v>29</v>
      </c>
      <c r="R2" s="197"/>
      <c r="S2" s="197"/>
      <c r="T2" s="192"/>
    </row>
    <row r="3" spans="1:20" x14ac:dyDescent="0.25">
      <c r="B3" s="102"/>
      <c r="C3" s="20"/>
      <c r="D3" s="20"/>
      <c r="E3" s="20"/>
      <c r="F3" s="20"/>
      <c r="G3" s="20"/>
      <c r="H3" s="20"/>
      <c r="I3" s="20"/>
      <c r="J3" s="20"/>
      <c r="K3" s="20"/>
      <c r="L3" s="20"/>
      <c r="M3" s="103"/>
      <c r="N3" s="25"/>
      <c r="P3" s="192"/>
      <c r="Q3" s="192"/>
      <c r="R3" s="192"/>
      <c r="S3" s="192"/>
      <c r="T3" s="192"/>
    </row>
    <row r="4" spans="1:20" ht="15.75" thickBot="1" x14ac:dyDescent="0.3">
      <c r="B4" s="104"/>
      <c r="C4" s="1" t="s">
        <v>25</v>
      </c>
      <c r="D4" s="2" t="s">
        <v>0</v>
      </c>
      <c r="E4" s="20"/>
      <c r="F4" s="3" t="s">
        <v>31</v>
      </c>
      <c r="G4" s="200" t="s">
        <v>26</v>
      </c>
      <c r="H4" s="201"/>
      <c r="I4" s="4"/>
      <c r="J4" s="5"/>
      <c r="K4" s="20"/>
      <c r="L4" s="71">
        <f>IF(C2="P",Q4,S4)</f>
        <v>1.4410000000000003</v>
      </c>
      <c r="M4" s="103"/>
      <c r="N4" s="25"/>
      <c r="O4" s="176" t="str">
        <f>IF(C2="P",IF(D2="STATIC",IF(D5&gt;D6,"▼",""),IF(D5&gt;D6,"","▼")),IF(D2="STATIC",IF(D6&gt;D5,"▼",""),IF(D6&gt;D5,"","▼")))</f>
        <v>▼</v>
      </c>
      <c r="P4" s="192"/>
      <c r="Q4" s="105">
        <f>D5</f>
        <v>0.95299999999999996</v>
      </c>
      <c r="R4" s="105"/>
      <c r="S4" s="105">
        <f>D6</f>
        <v>1.4410000000000003</v>
      </c>
      <c r="T4" s="192"/>
    </row>
    <row r="5" spans="1:20" ht="21.75" thickBot="1" x14ac:dyDescent="0.4">
      <c r="B5" s="202" t="s">
        <v>1</v>
      </c>
      <c r="C5" s="42" t="s">
        <v>154</v>
      </c>
      <c r="D5" s="6">
        <v>0.95299999999999996</v>
      </c>
      <c r="E5" s="7"/>
      <c r="F5" s="8" t="s">
        <v>147</v>
      </c>
      <c r="G5" s="9" t="str">
        <f>TEXT(H19&amp;" | "&amp;F18,0)</f>
        <v>1,418 | 1,412</v>
      </c>
      <c r="H5" s="10">
        <f>ABS(H19-F18)</f>
        <v>6.0000000000000053E-3</v>
      </c>
      <c r="I5" s="11"/>
      <c r="J5" s="12"/>
      <c r="K5" s="20"/>
      <c r="L5" s="69" t="str">
        <f>IF(C2="P",Q5,TEXT( S5 &amp;" | " &amp;G19,"0,00"))</f>
        <v>1,412 | 1,425</v>
      </c>
      <c r="M5" s="103"/>
      <c r="N5" s="25"/>
      <c r="O5" s="179"/>
      <c r="P5" s="192"/>
      <c r="Q5" s="105">
        <f>H14</f>
        <v>0.98199999999999998</v>
      </c>
      <c r="R5" s="105"/>
      <c r="S5" s="105">
        <f>F18</f>
        <v>1.4119999999999999</v>
      </c>
      <c r="T5" s="192"/>
    </row>
    <row r="6" spans="1:20" ht="21" x14ac:dyDescent="0.35">
      <c r="B6" s="202"/>
      <c r="C6" s="43" t="s">
        <v>118</v>
      </c>
      <c r="D6" s="6">
        <v>1.4410000000000003</v>
      </c>
      <c r="E6" s="7"/>
      <c r="F6" s="13"/>
      <c r="G6" s="3" t="str">
        <f>TEXT(" AOPV  | " &amp;ROUNDDOWN((((G15/F15)*100)-100),H2)&amp;" % ","0,00")</f>
        <v xml:space="preserve"> AOPV  | 0,975 % </v>
      </c>
      <c r="H6" s="38">
        <f>ABS(ROUNDDOWN(IF(C2="P",(F15-G15),(G15-F15)),H2))</f>
        <v>1.0999999999999999E-2</v>
      </c>
      <c r="I6" s="14"/>
      <c r="J6" s="15"/>
      <c r="K6" s="20"/>
      <c r="L6" s="71" t="str">
        <f>IF(C2="P",Q6,S6)</f>
        <v>BRK|1,375</v>
      </c>
      <c r="M6" s="103"/>
      <c r="N6" s="25"/>
      <c r="O6" s="180"/>
      <c r="P6" s="192"/>
      <c r="Q6" s="105">
        <f>G14</f>
        <v>1.0169999999999999</v>
      </c>
      <c r="R6" s="105"/>
      <c r="S6" s="105" t="str">
        <f>I14</f>
        <v>BRK|1,375</v>
      </c>
      <c r="T6" s="192"/>
    </row>
    <row r="7" spans="1:20" x14ac:dyDescent="0.25">
      <c r="B7" s="202"/>
      <c r="C7" s="153" t="s">
        <v>2</v>
      </c>
      <c r="D7" s="154">
        <f>D5-D6</f>
        <v>-0.48800000000000032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-6.3999999999999946E-2</v>
      </c>
      <c r="I7" s="14"/>
      <c r="J7" s="19"/>
      <c r="K7" s="20"/>
      <c r="L7" s="70" t="str">
        <f>IF(C2="P",Q7,S7)</f>
        <v>236+|1,35</v>
      </c>
      <c r="M7" s="103"/>
      <c r="N7" s="25"/>
      <c r="O7" s="181"/>
      <c r="P7" s="192"/>
      <c r="Q7" s="105">
        <f>D15</f>
        <v>1.04</v>
      </c>
      <c r="R7" s="105"/>
      <c r="S7" s="105" t="str">
        <f>I15</f>
        <v>236+|1,35</v>
      </c>
      <c r="T7" s="192"/>
    </row>
    <row r="8" spans="1:20" x14ac:dyDescent="0.25">
      <c r="A8" s="20"/>
      <c r="B8" s="202"/>
      <c r="C8" s="155" t="s">
        <v>4</v>
      </c>
      <c r="D8" s="155">
        <f>E16</f>
        <v>1.325</v>
      </c>
      <c r="E8" s="20"/>
      <c r="F8" s="20"/>
      <c r="G8" s="3" t="s">
        <v>5</v>
      </c>
      <c r="H8" s="21">
        <f>D5-H10</f>
        <v>-6.3999999999999946E-2</v>
      </c>
      <c r="I8" s="22"/>
      <c r="J8" s="19"/>
      <c r="K8" s="20"/>
      <c r="L8" s="72">
        <f>IF(C2="P",Q8,S8)</f>
        <v>1.3380000000000001</v>
      </c>
      <c r="M8" s="103"/>
      <c r="N8" s="25"/>
      <c r="O8" s="180"/>
      <c r="P8" s="192"/>
      <c r="Q8" s="105" t="str">
        <f>S23</f>
        <v>COR|1,056</v>
      </c>
      <c r="R8" s="105"/>
      <c r="S8" s="105">
        <f>Q23</f>
        <v>1.3380000000000001</v>
      </c>
      <c r="T8" s="192"/>
    </row>
    <row r="9" spans="1:20" ht="17.25" customHeight="1" x14ac:dyDescent="0.25">
      <c r="A9" s="20"/>
      <c r="B9" s="202"/>
      <c r="C9" s="153" t="s">
        <v>6</v>
      </c>
      <c r="D9" s="156">
        <f>D5-D8</f>
        <v>-0.372</v>
      </c>
      <c r="E9" s="20"/>
      <c r="F9" s="20"/>
      <c r="G9" s="3" t="s">
        <v>7</v>
      </c>
      <c r="H9" s="23">
        <f>ROUNDDOWN(H8-H7,H2)</f>
        <v>0</v>
      </c>
      <c r="I9" s="22" t="s">
        <v>30</v>
      </c>
      <c r="J9" s="20"/>
      <c r="K9" s="20"/>
      <c r="L9" s="69" t="str">
        <f>IF(C2="P",Q9,S9)</f>
        <v>BASE|1,325</v>
      </c>
      <c r="M9" s="103"/>
      <c r="N9" s="25"/>
      <c r="O9" s="184"/>
      <c r="P9" s="192"/>
      <c r="Q9" s="105" t="str">
        <f>S22</f>
        <v>BASE+|1,069</v>
      </c>
      <c r="R9" s="105"/>
      <c r="S9" s="105" t="str">
        <f>I20</f>
        <v>BASE|1,325</v>
      </c>
      <c r="T9" s="192"/>
    </row>
    <row r="10" spans="1:20" ht="18.75" x14ac:dyDescent="0.3">
      <c r="A10" s="20"/>
      <c r="B10" s="202"/>
      <c r="C10" s="157" t="s">
        <v>8</v>
      </c>
      <c r="D10" s="158">
        <f>ROUNDDOWN((G15-F19)/(1-0.236),H2)</f>
        <v>-0.52</v>
      </c>
      <c r="E10" s="20" t="s">
        <v>30</v>
      </c>
      <c r="F10" s="20"/>
      <c r="G10" s="3" t="s">
        <v>27</v>
      </c>
      <c r="H10" s="37">
        <v>1.0169999999999999</v>
      </c>
      <c r="I10" s="20"/>
      <c r="J10" s="20"/>
      <c r="K10" s="20"/>
      <c r="L10" s="69" t="str">
        <f>IF(C2="P",Q10,S10)</f>
        <v>382+| 1,301</v>
      </c>
      <c r="M10" s="103"/>
      <c r="N10" s="25"/>
      <c r="O10" s="184"/>
      <c r="P10" s="192"/>
      <c r="Q10" s="105">
        <f>D16</f>
        <v>1.095</v>
      </c>
      <c r="R10" s="105"/>
      <c r="S10" s="105" t="str">
        <f>I16</f>
        <v>382+| 1,301</v>
      </c>
      <c r="T10" s="192"/>
    </row>
    <row r="11" spans="1:20" ht="15.75" thickBot="1" x14ac:dyDescent="0.3">
      <c r="A11" s="20"/>
      <c r="B11" s="102"/>
      <c r="C11" s="24"/>
      <c r="D11" s="24"/>
      <c r="E11" s="20"/>
      <c r="F11" s="20"/>
      <c r="G11" s="20"/>
      <c r="H11" s="20"/>
      <c r="I11" s="20"/>
      <c r="J11" s="25"/>
      <c r="K11" s="20"/>
      <c r="L11" s="163">
        <f>IF(C2="P",Q11,S11)</f>
        <v>1.2769999999999999</v>
      </c>
      <c r="M11" s="103"/>
      <c r="N11" s="25"/>
      <c r="O11" s="184"/>
      <c r="P11" s="192"/>
      <c r="Q11" s="105">
        <f>H15</f>
        <v>1.1120000000000001</v>
      </c>
      <c r="R11" s="105"/>
      <c r="S11" s="105">
        <f>G17</f>
        <v>1.2769999999999999</v>
      </c>
      <c r="T11" s="192"/>
    </row>
    <row r="12" spans="1:20" ht="19.5" thickBot="1" x14ac:dyDescent="0.35">
      <c r="A12" s="20"/>
      <c r="B12" s="102"/>
      <c r="C12" s="20"/>
      <c r="D12" s="20"/>
      <c r="E12" s="20"/>
      <c r="F12" s="20"/>
      <c r="G12" s="105"/>
      <c r="H12" s="20"/>
      <c r="I12" s="20"/>
      <c r="J12" s="20"/>
      <c r="K12" s="20"/>
      <c r="L12" s="74">
        <f>IF(C2="P",F15,S12)</f>
        <v>1.2589999999999999</v>
      </c>
      <c r="M12" s="73">
        <f>IF(C2="P",Q13,D19)</f>
        <v>1.2450000000000001</v>
      </c>
      <c r="N12" s="159"/>
      <c r="O12" s="180"/>
      <c r="P12" s="192"/>
      <c r="Q12" s="105">
        <f>F15</f>
        <v>1.1279999999999999</v>
      </c>
      <c r="R12" s="105"/>
      <c r="S12" s="105">
        <f>H17</f>
        <v>1.2589999999999999</v>
      </c>
      <c r="T12" s="192"/>
    </row>
    <row r="13" spans="1:20" ht="15.75" x14ac:dyDescent="0.25">
      <c r="A13" s="20"/>
      <c r="B13" s="102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08">
        <f>IF(C2="P",S17,Q17)</f>
        <v>1.2370000000000001</v>
      </c>
      <c r="N13" s="15"/>
      <c r="O13" s="184"/>
      <c r="P13" s="192"/>
      <c r="Q13" s="105">
        <f>G15</f>
        <v>1.139</v>
      </c>
      <c r="R13" s="105">
        <f>D17</f>
        <v>1.139</v>
      </c>
      <c r="S13" s="193">
        <f>D19</f>
        <v>1.2450000000000001</v>
      </c>
      <c r="T13" s="192"/>
    </row>
    <row r="14" spans="1:20" ht="19.5" thickBot="1" x14ac:dyDescent="0.35">
      <c r="A14" s="20"/>
      <c r="B14" s="203" t="s">
        <v>115</v>
      </c>
      <c r="C14" s="28">
        <v>0</v>
      </c>
      <c r="D14" s="52">
        <f>D5</f>
        <v>0.95299999999999996</v>
      </c>
      <c r="E14" s="52">
        <f>D5</f>
        <v>0.95299999999999996</v>
      </c>
      <c r="F14" s="84">
        <f>D5</f>
        <v>0.95299999999999996</v>
      </c>
      <c r="G14" s="178">
        <f>F19+D10</f>
        <v>1.0169999999999999</v>
      </c>
      <c r="H14" s="96">
        <f>ROUNDDOWN((((H18-F19)/(1-0.618))+F19),H2)</f>
        <v>0.98199999999999998</v>
      </c>
      <c r="I14" s="91" t="str">
        <f>TEXT("BRK|" &amp;ROUNDDOWN((F18+G18)/2,H2),"0,00")</f>
        <v>BRK|1,375</v>
      </c>
      <c r="J14" s="31"/>
      <c r="K14" s="20"/>
      <c r="L14" s="20"/>
      <c r="M14" s="109">
        <f>IF(C2="P",Q14,S14)</f>
        <v>1.2150000000000001</v>
      </c>
      <c r="N14" s="15"/>
      <c r="O14" s="181"/>
      <c r="P14" s="192"/>
      <c r="Q14" s="105">
        <f>E15</f>
        <v>1.1830000000000001</v>
      </c>
      <c r="R14" s="105">
        <f>D18</f>
        <v>1.1819999999999999</v>
      </c>
      <c r="S14" s="105">
        <f>G16</f>
        <v>1.2150000000000001</v>
      </c>
      <c r="T14" s="192"/>
    </row>
    <row r="15" spans="1:20" ht="19.5" customHeight="1" thickBot="1" x14ac:dyDescent="0.4">
      <c r="A15" s="20"/>
      <c r="B15" s="203"/>
      <c r="C15" s="28">
        <v>0.23599999999999999</v>
      </c>
      <c r="D15" s="89">
        <f>ROUNDDOWN((D5-(C15/1)*D9),H2)</f>
        <v>1.04</v>
      </c>
      <c r="E15" s="90">
        <f>ROUNDDOWN((D5-(C15/0.5)*D7),H2)</f>
        <v>1.1830000000000001</v>
      </c>
      <c r="F15" s="87">
        <f>ROUNDDOWN((D5-(C15/0.5)*D9),H2)</f>
        <v>1.1279999999999999</v>
      </c>
      <c r="G15" s="88">
        <f>D17</f>
        <v>1.139</v>
      </c>
      <c r="H15" s="162">
        <f>ROUNDDOWN(H14-((C15/1)*(H14-F19)),H2)</f>
        <v>1.1120000000000001</v>
      </c>
      <c r="I15" s="53" t="str">
        <f>TEXT("236+|" &amp;ROUNDDOWN((D8+(F18+G18)/2)/2,H2),"0,00")</f>
        <v>236+|1,35</v>
      </c>
      <c r="J15" s="32"/>
      <c r="K15" s="20"/>
      <c r="L15" s="20"/>
      <c r="M15" s="110">
        <f>Q15</f>
        <v>1.194</v>
      </c>
      <c r="N15" s="160"/>
      <c r="O15" s="184"/>
      <c r="P15" s="192"/>
      <c r="Q15" s="193">
        <f>H16</f>
        <v>1.194</v>
      </c>
      <c r="R15" s="193">
        <f>H16</f>
        <v>1.194</v>
      </c>
      <c r="S15" s="193">
        <f>H16</f>
        <v>1.194</v>
      </c>
      <c r="T15" s="192"/>
    </row>
    <row r="16" spans="1:20" x14ac:dyDescent="0.25">
      <c r="B16" s="203"/>
      <c r="C16" s="28">
        <v>0.38200000000000001</v>
      </c>
      <c r="D16" s="54">
        <f>ROUNDDOWN((D5-(C16/1)*D9),H2)</f>
        <v>1.095</v>
      </c>
      <c r="E16" s="65">
        <f>ROUNDDOWN((D5-(C16/0.5)*D7),H2)</f>
        <v>1.325</v>
      </c>
      <c r="F16" s="85">
        <f>ROUNDDOWN((D5-(C16/0.5)*D9),H2)</f>
        <v>1.2370000000000001</v>
      </c>
      <c r="G16" s="86">
        <f>ROUNDDOWN((F19+D10)-((C16/1)*D10),H2)</f>
        <v>1.2150000000000001</v>
      </c>
      <c r="H16" s="55">
        <f>ROUNDDOWN(H14-((C16/1)*(H14-F19)),H2)</f>
        <v>1.194</v>
      </c>
      <c r="I16" s="45" t="str">
        <f>TEXT("382+| " &amp;ROUNDDOWN((G17+D8)/2,H2),"0,00")</f>
        <v>382+| 1,301</v>
      </c>
      <c r="J16" s="32"/>
      <c r="K16" s="20"/>
      <c r="L16" s="20"/>
      <c r="M16" s="111">
        <f>IF(C2="P",Q16,S16)</f>
        <v>1.1830000000000001</v>
      </c>
      <c r="N16" s="15"/>
      <c r="O16" s="184"/>
      <c r="P16" s="192"/>
      <c r="Q16" s="105">
        <f>S14</f>
        <v>1.2150000000000001</v>
      </c>
      <c r="R16" s="105"/>
      <c r="S16" s="105">
        <f>Q14</f>
        <v>1.1830000000000001</v>
      </c>
      <c r="T16" s="192"/>
    </row>
    <row r="17" spans="1:20" ht="21.75" thickBot="1" x14ac:dyDescent="0.3">
      <c r="B17" s="203"/>
      <c r="C17" s="28">
        <v>0.5</v>
      </c>
      <c r="D17" s="56">
        <f>ROUNDDOWN((D5-(C17/1)*D9),H2)</f>
        <v>1.139</v>
      </c>
      <c r="E17" s="46">
        <f>ROUNDDOWN((D5-(C17/0.5)*D7),H2)</f>
        <v>1.4410000000000001</v>
      </c>
      <c r="F17" s="65">
        <f>ROUNDDOWN((D5-(C17/0.5)*D9),H2)</f>
        <v>1.325</v>
      </c>
      <c r="G17" s="161">
        <f>ROUNDDOWN((F19+D10)-((C17/1)*D10),H2)</f>
        <v>1.2769999999999999</v>
      </c>
      <c r="H17" s="57">
        <f>ROUNDDOWN(H14-((C17/1)*(H14-F19)),H2)</f>
        <v>1.2589999999999999</v>
      </c>
      <c r="I17" s="78" t="str">
        <f>TEXT("GAP|" &amp;ROUNDDOWN((D17+D18)/2,H2),"0,00")</f>
        <v>GAP|1,16</v>
      </c>
      <c r="J17" s="33"/>
      <c r="K17" s="20"/>
      <c r="L17" s="20"/>
      <c r="M17" s="108" t="str">
        <f>IF(C2="P",Q17,S17)</f>
        <v>GAP|1,16</v>
      </c>
      <c r="N17" s="15"/>
      <c r="O17" s="183" t="s">
        <v>152</v>
      </c>
      <c r="P17" s="192"/>
      <c r="Q17" s="105">
        <f>F16</f>
        <v>1.2370000000000001</v>
      </c>
      <c r="R17" s="105"/>
      <c r="S17" s="105" t="str">
        <f>I17</f>
        <v>GAP|1,16</v>
      </c>
      <c r="T17" s="192"/>
    </row>
    <row r="18" spans="1:20" ht="18.75" x14ac:dyDescent="0.3">
      <c r="B18" s="203"/>
      <c r="C18" s="28">
        <v>0.61799999999999999</v>
      </c>
      <c r="D18" s="58">
        <f>ROUNDDOWN((D5-(C18/1)*D9),H2)</f>
        <v>1.1819999999999999</v>
      </c>
      <c r="E18" s="92">
        <f>ROUNDDOWN((D5-(C18/0.5)*D7),H2)</f>
        <v>1.556</v>
      </c>
      <c r="F18" s="44">
        <f>ROUNDDOWN((D5-(C18/0.5)*D9),H2)</f>
        <v>1.4119999999999999</v>
      </c>
      <c r="G18" s="59">
        <f>ROUNDDOWN((F19+D10)-((C18/1)*D10),H2)</f>
        <v>1.3380000000000001</v>
      </c>
      <c r="H18" s="63">
        <f>D8</f>
        <v>1.325</v>
      </c>
      <c r="I18" s="79" t="str">
        <f>TEXT("COR|" &amp;ROUNDDOWN((D16+G14)/2,H2),"0,00")</f>
        <v>COR|1,056</v>
      </c>
      <c r="J18" s="34"/>
      <c r="K18" s="20"/>
      <c r="L18" s="20"/>
      <c r="M18" s="76">
        <f>IF(C2="P",Q18,S18)</f>
        <v>1.139</v>
      </c>
      <c r="N18" s="159"/>
      <c r="O18" s="180"/>
      <c r="P18" s="192"/>
      <c r="Q18" s="105">
        <f>D19</f>
        <v>1.2450000000000001</v>
      </c>
      <c r="R18" s="105"/>
      <c r="S18" s="105">
        <f>D17</f>
        <v>1.139</v>
      </c>
      <c r="T18" s="192"/>
    </row>
    <row r="19" spans="1:20" ht="19.5" thickBot="1" x14ac:dyDescent="0.35">
      <c r="B19" s="203"/>
      <c r="C19" s="28">
        <v>0.78600000000000003</v>
      </c>
      <c r="D19" s="60">
        <f>ROUNDDOWN((D5-(C19/1)*D9),H2)</f>
        <v>1.2450000000000001</v>
      </c>
      <c r="E19" s="64">
        <f>ROUNDDOWN((D5-(C19/0.5)*D7),H2)</f>
        <v>1.72</v>
      </c>
      <c r="F19" s="93">
        <f>ROUNDDOWN((D5-(C19/0.5)*D9),H2)</f>
        <v>1.5369999999999999</v>
      </c>
      <c r="G19" s="61">
        <f>ROUNDDOWN((F19+D10)-((C19/1)*D10),H2)</f>
        <v>1.425</v>
      </c>
      <c r="H19" s="62">
        <f>ROUNDDOWN(H14-((C19/1)*(H14-F19)),H2)</f>
        <v>1.4179999999999999</v>
      </c>
      <c r="I19" s="66" t="str">
        <f>TEXT("BASE+|"&amp;IF(C2="P",((D16+G14)/2)+(G18-D8),((D16+G14)/2)-(D8-G18)),"0,00")</f>
        <v>BASE+|1,069</v>
      </c>
      <c r="J19" s="35"/>
      <c r="K19" s="20"/>
      <c r="L19" s="20"/>
      <c r="M19" s="77">
        <f>IF(C2="P",Q19,S19)</f>
        <v>1.1279999999999999</v>
      </c>
      <c r="N19" s="159"/>
      <c r="O19" s="184"/>
      <c r="P19" s="192"/>
      <c r="Q19" s="105">
        <f>S12</f>
        <v>1.2589999999999999</v>
      </c>
      <c r="R19" s="105"/>
      <c r="S19" s="105">
        <f>Q12</f>
        <v>1.1279999999999999</v>
      </c>
      <c r="T19" s="192"/>
    </row>
    <row r="20" spans="1:20" x14ac:dyDescent="0.25">
      <c r="B20" s="203"/>
      <c r="C20" s="28">
        <v>1</v>
      </c>
      <c r="D20" s="65">
        <f>D8</f>
        <v>1.325</v>
      </c>
      <c r="E20" s="64">
        <f>ROUNDDOWN((D5-(C20/0.5)*D7),H2)</f>
        <v>1.929</v>
      </c>
      <c r="F20" s="64">
        <f>ROUNDDOWN((D5-(C20/0.5)*D9),H2)</f>
        <v>1.6970000000000001</v>
      </c>
      <c r="G20" s="94">
        <f>F19</f>
        <v>1.5369999999999999</v>
      </c>
      <c r="H20" s="95">
        <f>ROUNDDOWN(H14-((C20/1)*(H14-F19)),H2)</f>
        <v>1.5369999999999999</v>
      </c>
      <c r="I20" s="66" t="str">
        <f>TEXT("BASE|" &amp;D8,"0,00")</f>
        <v>BASE|1,325</v>
      </c>
      <c r="J20" s="36"/>
      <c r="K20" s="20"/>
      <c r="L20" s="20"/>
      <c r="M20" s="112">
        <f>IF(C2="P",Q20,S20)</f>
        <v>1.1120000000000001</v>
      </c>
      <c r="N20" s="15"/>
      <c r="O20" s="184"/>
      <c r="P20" s="192"/>
      <c r="Q20" s="105">
        <f>S11</f>
        <v>1.2769999999999999</v>
      </c>
      <c r="R20" s="105"/>
      <c r="S20" s="105">
        <f>Q11</f>
        <v>1.1120000000000001</v>
      </c>
      <c r="T20" s="192"/>
    </row>
    <row r="21" spans="1:20" x14ac:dyDescent="0.25">
      <c r="B21" s="102"/>
      <c r="C21" s="20"/>
      <c r="D21" s="106"/>
      <c r="E21" s="106"/>
      <c r="F21" s="106"/>
      <c r="G21" s="20"/>
      <c r="H21" s="20"/>
      <c r="I21" s="20"/>
      <c r="J21" s="20"/>
      <c r="K21" s="20"/>
      <c r="L21" s="20"/>
      <c r="M21" s="111">
        <f>IF(C2="P",Q21,S21)</f>
        <v>1.095</v>
      </c>
      <c r="N21" s="15"/>
      <c r="O21" s="184"/>
      <c r="P21" s="192"/>
      <c r="Q21" s="105" t="str">
        <f>S10</f>
        <v>382+| 1,301</v>
      </c>
      <c r="R21" s="105"/>
      <c r="S21" s="105">
        <f>Q10</f>
        <v>1.095</v>
      </c>
      <c r="T21" s="192"/>
    </row>
    <row r="22" spans="1:20" x14ac:dyDescent="0.25">
      <c r="B22" s="102"/>
      <c r="C22" s="146"/>
      <c r="D22" s="147"/>
      <c r="E22" s="148"/>
      <c r="F22" s="148"/>
      <c r="G22" s="148"/>
      <c r="H22" s="148"/>
      <c r="I22" s="148"/>
      <c r="J22" s="148"/>
      <c r="K22" s="149"/>
      <c r="L22" s="20"/>
      <c r="M22" s="111" t="str">
        <f>IF(C2="P",Q22,S22)</f>
        <v>BASE+|1,069</v>
      </c>
      <c r="N22" s="15"/>
      <c r="O22" s="184"/>
      <c r="P22" s="192"/>
      <c r="Q22" s="105" t="str">
        <f>I20</f>
        <v>BASE|1,325</v>
      </c>
      <c r="R22" s="105"/>
      <c r="S22" s="105" t="str">
        <f>I19</f>
        <v>BASE+|1,069</v>
      </c>
      <c r="T22" s="192"/>
    </row>
    <row r="23" spans="1:20" ht="16.5" customHeight="1" x14ac:dyDescent="0.25">
      <c r="A23" s="20"/>
      <c r="B23" s="102"/>
      <c r="C23" s="150" t="s">
        <v>18</v>
      </c>
      <c r="D23" s="151" t="s">
        <v>13</v>
      </c>
      <c r="E23" s="151" t="s">
        <v>14</v>
      </c>
      <c r="F23" s="151" t="s">
        <v>15</v>
      </c>
      <c r="G23" s="151" t="s">
        <v>16</v>
      </c>
      <c r="H23" s="151" t="s">
        <v>149</v>
      </c>
      <c r="I23" s="151" t="s">
        <v>148</v>
      </c>
      <c r="J23" s="152" t="s">
        <v>17</v>
      </c>
      <c r="K23" s="173" t="s">
        <v>19</v>
      </c>
      <c r="L23" s="20"/>
      <c r="M23" s="109" t="str">
        <f>IF(C2="P",Q23,S23)</f>
        <v>COR|1,056</v>
      </c>
      <c r="N23" s="15"/>
      <c r="O23" s="182"/>
      <c r="P23" s="192"/>
      <c r="Q23" s="105">
        <f>G18</f>
        <v>1.3380000000000001</v>
      </c>
      <c r="R23" s="105"/>
      <c r="S23" s="105" t="str">
        <f>I18</f>
        <v>COR|1,056</v>
      </c>
      <c r="T23" s="192"/>
    </row>
    <row r="24" spans="1:20" ht="21.75" customHeight="1" x14ac:dyDescent="0.3">
      <c r="A24" s="20"/>
      <c r="B24" s="195" t="s">
        <v>24</v>
      </c>
      <c r="C24" s="115" t="str">
        <f>TEXT("["&amp;ROUNDDOWN((((H24/G24)*100)-100),2)&amp;" %] ","0,00")</f>
        <v xml:space="preserve">[11,61 %] </v>
      </c>
      <c r="D24" s="81">
        <v>1</v>
      </c>
      <c r="E24" s="81">
        <v>20</v>
      </c>
      <c r="F24" s="82">
        <f>G24*D24/E24</f>
        <v>5.6399999999999992E-2</v>
      </c>
      <c r="G24" s="204">
        <v>1.1279999999999999</v>
      </c>
      <c r="H24" s="204">
        <v>1.2589999999999999</v>
      </c>
      <c r="I24" s="204">
        <v>1.1120000000000001</v>
      </c>
      <c r="J24" s="83">
        <f>(G24-I24)*D24</f>
        <v>1.5999999999999792E-2</v>
      </c>
      <c r="K24" s="174">
        <f>(H24-G24)*D24</f>
        <v>0.13100000000000001</v>
      </c>
      <c r="L24" s="20"/>
      <c r="M24" s="108">
        <f>IF(C2="P",Q24,S24)</f>
        <v>1.04</v>
      </c>
      <c r="N24" s="15"/>
      <c r="O24" s="182"/>
      <c r="P24" s="192"/>
      <c r="Q24" s="105" t="str">
        <f>S7</f>
        <v>236+|1,35</v>
      </c>
      <c r="R24" s="105"/>
      <c r="S24" s="105">
        <f>Q7</f>
        <v>1.04</v>
      </c>
      <c r="T24" s="192"/>
    </row>
    <row r="25" spans="1:20" ht="21" customHeight="1" x14ac:dyDescent="0.3">
      <c r="B25" s="195"/>
      <c r="C25" s="115"/>
      <c r="D25" s="81"/>
      <c r="E25" s="81"/>
      <c r="F25" s="82"/>
      <c r="G25" s="194"/>
      <c r="H25" s="194"/>
      <c r="I25" s="194"/>
      <c r="J25" s="83"/>
      <c r="K25" s="174"/>
      <c r="L25" s="20"/>
      <c r="M25" s="113">
        <f>IF(C2="P",Q25,S25)</f>
        <v>1.0169999999999999</v>
      </c>
      <c r="N25" s="15"/>
      <c r="O25" s="180"/>
      <c r="P25" s="192"/>
      <c r="Q25" s="105" t="str">
        <f>S6</f>
        <v>BRK|1,375</v>
      </c>
      <c r="R25" s="105"/>
      <c r="S25" s="105">
        <f>Q6</f>
        <v>1.0169999999999999</v>
      </c>
      <c r="T25" s="192"/>
    </row>
    <row r="26" spans="1:20" ht="19.5" customHeight="1" x14ac:dyDescent="0.3">
      <c r="B26" s="195"/>
      <c r="C26" s="115"/>
      <c r="D26" s="81"/>
      <c r="E26" s="81"/>
      <c r="F26" s="82"/>
      <c r="G26" s="194"/>
      <c r="H26" s="194"/>
      <c r="I26" s="194"/>
      <c r="J26" s="83"/>
      <c r="K26" s="174"/>
      <c r="L26" s="20"/>
      <c r="M26" s="109">
        <f>IF(C2="P",TEXT( Q26 &amp;" | " &amp;G19,"0,00"),S26)</f>
        <v>0.98199999999999998</v>
      </c>
      <c r="N26" s="15"/>
      <c r="O26" s="182"/>
      <c r="P26" s="192"/>
      <c r="Q26" s="105">
        <f>F18</f>
        <v>1.4119999999999999</v>
      </c>
      <c r="R26" s="105"/>
      <c r="S26" s="105">
        <f>H14</f>
        <v>0.98199999999999998</v>
      </c>
      <c r="T26" s="192"/>
    </row>
    <row r="27" spans="1:20" ht="19.5" thickBot="1" x14ac:dyDescent="0.35">
      <c r="B27" s="196"/>
      <c r="C27" s="115"/>
      <c r="D27" s="81"/>
      <c r="E27" s="81"/>
      <c r="F27" s="82"/>
      <c r="G27" s="172"/>
      <c r="H27" s="172"/>
      <c r="I27" s="172"/>
      <c r="J27" s="83"/>
      <c r="K27" s="174"/>
      <c r="L27" s="107"/>
      <c r="M27" s="114">
        <f>IF(C2="P",Q27,S27)</f>
        <v>0.95299999999999996</v>
      </c>
      <c r="N27" s="15"/>
      <c r="O27" s="177" t="str">
        <f>IF(C2="P",IF(D2="STATIC",IF(D5&gt;D6,"","▲"),IF(D5&gt;D6,"▲","")),IF(D2="STATIC",IF(D6&gt;D5,"","▲"),IF(D6&gt;D5,"▲","")))</f>
        <v/>
      </c>
      <c r="P27" s="192"/>
      <c r="Q27" s="105">
        <f>E17</f>
        <v>1.4410000000000001</v>
      </c>
      <c r="R27" s="105"/>
      <c r="S27" s="105">
        <f>E14</f>
        <v>0.95299999999999996</v>
      </c>
      <c r="T27" s="192"/>
    </row>
    <row r="28" spans="1:20" ht="15.75" x14ac:dyDescent="0.25">
      <c r="B28" s="75"/>
      <c r="C28" s="116"/>
      <c r="D28" s="117"/>
      <c r="E28" s="175">
        <f>IF(ISNUMBER(SEARCH("|", M24)), MID(M24,FIND("|",M24,1)+1,LEN(M24)), M24)</f>
        <v>1.04</v>
      </c>
      <c r="F28" s="40"/>
      <c r="G28" s="68"/>
      <c r="H28" s="68"/>
      <c r="I28" s="68"/>
      <c r="J28" s="41"/>
      <c r="K28" s="41"/>
      <c r="P28" s="192"/>
      <c r="Q28" s="192"/>
      <c r="R28" s="192"/>
      <c r="S28" s="192"/>
      <c r="T28" s="192"/>
    </row>
    <row r="29" spans="1:20" x14ac:dyDescent="0.25">
      <c r="K29" s="20"/>
      <c r="P29" s="192"/>
      <c r="Q29" s="192"/>
      <c r="R29" s="192"/>
      <c r="S29" s="192"/>
      <c r="T29" s="192"/>
    </row>
    <row r="30" spans="1:20" x14ac:dyDescent="0.25">
      <c r="C30" s="80"/>
      <c r="D30" s="80"/>
      <c r="E30" s="80"/>
      <c r="F30" s="80"/>
      <c r="G30" s="80"/>
      <c r="H30" s="80"/>
    </row>
    <row r="31" spans="1:20" x14ac:dyDescent="0.25">
      <c r="B31" s="25"/>
      <c r="C31" s="80"/>
      <c r="D31" s="80"/>
      <c r="E31" s="80"/>
      <c r="F31" s="80"/>
      <c r="G31" s="80"/>
      <c r="H31" s="80"/>
    </row>
    <row r="32" spans="1:20" x14ac:dyDescent="0.25">
      <c r="B32" s="25"/>
      <c r="C32" s="80"/>
      <c r="D32" s="80"/>
      <c r="E32" s="80"/>
      <c r="F32" s="80"/>
      <c r="G32" s="80"/>
      <c r="H32" s="80"/>
    </row>
    <row r="33" spans="2:9" x14ac:dyDescent="0.25">
      <c r="B33" s="25"/>
      <c r="C33" s="80"/>
      <c r="D33" s="80"/>
      <c r="E33" s="80"/>
      <c r="F33" s="80"/>
      <c r="G33" s="80"/>
      <c r="H33" s="80"/>
    </row>
    <row r="34" spans="2:9" x14ac:dyDescent="0.25">
      <c r="B34" s="25"/>
      <c r="C34" s="80"/>
      <c r="D34" s="80"/>
      <c r="E34" s="80"/>
      <c r="F34" s="80"/>
      <c r="G34" s="80"/>
      <c r="H34" s="80"/>
    </row>
    <row r="35" spans="2:9" x14ac:dyDescent="0.25">
      <c r="C35" s="80"/>
      <c r="D35" s="80"/>
      <c r="E35" s="80"/>
      <c r="F35" s="80"/>
      <c r="G35" s="80"/>
      <c r="H35" s="80"/>
      <c r="I35" s="80"/>
    </row>
    <row r="36" spans="2:9" x14ac:dyDescent="0.25">
      <c r="C36" s="80"/>
      <c r="D36" s="80"/>
      <c r="E36" s="80"/>
      <c r="F36" s="80"/>
      <c r="G36" s="80"/>
      <c r="H36" s="80"/>
      <c r="I36" s="80"/>
    </row>
    <row r="37" spans="2:9" x14ac:dyDescent="0.25">
      <c r="C37" s="80"/>
      <c r="D37" s="80"/>
      <c r="E37" s="80"/>
      <c r="F37" s="80"/>
      <c r="G37" s="80"/>
      <c r="H37" s="80"/>
      <c r="I37" s="80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AA256"/>
  <sheetViews>
    <sheetView zoomScaleNormal="100" workbookViewId="0">
      <selection activeCell="M7" sqref="M7"/>
    </sheetView>
  </sheetViews>
  <sheetFormatPr baseColWidth="10" defaultRowHeight="12" x14ac:dyDescent="0.2"/>
  <cols>
    <col min="1" max="2" width="11.42578125" style="67"/>
    <col min="3" max="3" width="11.42578125" style="118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20" t="s">
        <v>96</v>
      </c>
      <c r="D2" s="121"/>
      <c r="E2" s="122"/>
      <c r="F2" s="122"/>
      <c r="G2" s="122"/>
      <c r="H2" s="122"/>
      <c r="I2" s="122"/>
      <c r="J2" s="122"/>
      <c r="K2" s="122"/>
      <c r="L2" s="122"/>
      <c r="M2" s="122"/>
      <c r="N2" s="123"/>
    </row>
    <row r="3" spans="2:14" x14ac:dyDescent="0.2">
      <c r="C3" s="124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6"/>
    </row>
    <row r="4" spans="2:14" x14ac:dyDescent="0.2">
      <c r="C4" s="139" t="s">
        <v>22</v>
      </c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1"/>
    </row>
    <row r="5" spans="2:14" x14ac:dyDescent="0.2">
      <c r="B5" s="39"/>
      <c r="C5" s="139" t="s">
        <v>119</v>
      </c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1"/>
    </row>
    <row r="6" spans="2:14" x14ac:dyDescent="0.2">
      <c r="C6" s="139" t="s">
        <v>23</v>
      </c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1"/>
    </row>
    <row r="7" spans="2:14" x14ac:dyDescent="0.2">
      <c r="C7" s="124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6"/>
    </row>
    <row r="8" spans="2:14" x14ac:dyDescent="0.2"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6"/>
    </row>
    <row r="9" spans="2:14" x14ac:dyDescent="0.2"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6"/>
    </row>
    <row r="10" spans="2:14" x14ac:dyDescent="0.2">
      <c r="C10" s="124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6"/>
    </row>
    <row r="11" spans="2:14" x14ac:dyDescent="0.2">
      <c r="C11" s="124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6"/>
    </row>
    <row r="12" spans="2:14" ht="12.75" x14ac:dyDescent="0.2">
      <c r="C12" s="124"/>
      <c r="D12" s="133" t="s">
        <v>157</v>
      </c>
      <c r="E12" s="125"/>
      <c r="F12" s="125"/>
      <c r="G12" s="125"/>
      <c r="H12" s="125"/>
      <c r="I12" s="125"/>
      <c r="J12" s="125"/>
      <c r="K12" s="125"/>
      <c r="L12" s="125"/>
      <c r="M12" s="125"/>
      <c r="N12" s="126"/>
    </row>
    <row r="13" spans="2:14" ht="15" x14ac:dyDescent="0.2">
      <c r="C13" s="124"/>
      <c r="E13" s="125"/>
      <c r="F13" s="138" t="s">
        <v>156</v>
      </c>
      <c r="G13" s="125"/>
      <c r="H13" s="128" t="s">
        <v>97</v>
      </c>
      <c r="I13" s="125"/>
      <c r="J13" s="125"/>
      <c r="K13" s="125"/>
      <c r="L13" s="125"/>
      <c r="M13" s="125"/>
      <c r="N13" s="126"/>
    </row>
    <row r="14" spans="2:14" ht="15" x14ac:dyDescent="0.2">
      <c r="C14" s="129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6"/>
    </row>
    <row r="15" spans="2:14" ht="12.75" x14ac:dyDescent="0.2">
      <c r="C15" s="127" t="s">
        <v>32</v>
      </c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6"/>
    </row>
    <row r="16" spans="2:14" ht="15" x14ac:dyDescent="0.2">
      <c r="C16" s="129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6"/>
    </row>
    <row r="17" spans="3:14" ht="12.75" x14ac:dyDescent="0.2">
      <c r="C17" s="130" t="s">
        <v>33</v>
      </c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6"/>
    </row>
    <row r="18" spans="3:14" ht="12.75" x14ac:dyDescent="0.2">
      <c r="C18" s="130" t="s">
        <v>34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6"/>
    </row>
    <row r="19" spans="3:14" ht="12.75" x14ac:dyDescent="0.2">
      <c r="C19" s="130" t="s">
        <v>35</v>
      </c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6"/>
    </row>
    <row r="20" spans="3:14" ht="12.75" x14ac:dyDescent="0.2">
      <c r="C20" s="130" t="s">
        <v>36</v>
      </c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6"/>
    </row>
    <row r="21" spans="3:14" ht="12.75" x14ac:dyDescent="0.2">
      <c r="C21" s="130" t="s">
        <v>37</v>
      </c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6"/>
    </row>
    <row r="22" spans="3:14" ht="15" x14ac:dyDescent="0.2">
      <c r="C22" s="129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6"/>
    </row>
    <row r="23" spans="3:14" ht="15" x14ac:dyDescent="0.2">
      <c r="C23" s="129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6"/>
    </row>
    <row r="24" spans="3:14" ht="12.75" x14ac:dyDescent="0.2">
      <c r="C24" s="127" t="s">
        <v>101</v>
      </c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2"/>
    </row>
    <row r="25" spans="3:14" ht="15" x14ac:dyDescent="0.2">
      <c r="C25" s="129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2"/>
    </row>
    <row r="26" spans="3:14" ht="15" x14ac:dyDescent="0.2">
      <c r="C26" s="129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2"/>
    </row>
    <row r="27" spans="3:14" ht="12.75" x14ac:dyDescent="0.2">
      <c r="C27" s="127" t="s">
        <v>129</v>
      </c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2"/>
    </row>
    <row r="28" spans="3:14" ht="12.75" x14ac:dyDescent="0.2">
      <c r="C28" s="127" t="s">
        <v>132</v>
      </c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2"/>
    </row>
    <row r="29" spans="3:14" ht="12.75" x14ac:dyDescent="0.2">
      <c r="C29" s="127" t="s">
        <v>131</v>
      </c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2"/>
    </row>
    <row r="30" spans="3:14" ht="15" x14ac:dyDescent="0.2">
      <c r="C30" s="129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2"/>
    </row>
    <row r="31" spans="3:14" ht="12.75" x14ac:dyDescent="0.2">
      <c r="C31" s="127" t="s">
        <v>109</v>
      </c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2"/>
    </row>
    <row r="32" spans="3:14" ht="12.75" x14ac:dyDescent="0.2">
      <c r="C32" s="127" t="s">
        <v>75</v>
      </c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2"/>
    </row>
    <row r="33" spans="3:14" ht="12.75" x14ac:dyDescent="0.2">
      <c r="C33" s="127" t="s">
        <v>38</v>
      </c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2"/>
    </row>
    <row r="34" spans="3:14" ht="15" x14ac:dyDescent="0.2">
      <c r="C34" s="129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2"/>
    </row>
    <row r="35" spans="3:14" ht="12.75" x14ac:dyDescent="0.2">
      <c r="C35" s="127" t="s">
        <v>39</v>
      </c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2"/>
    </row>
    <row r="36" spans="3:14" ht="12.75" x14ac:dyDescent="0.2">
      <c r="C36" s="127" t="s">
        <v>40</v>
      </c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2"/>
    </row>
    <row r="37" spans="3:14" ht="12.75" x14ac:dyDescent="0.2">
      <c r="C37" s="127" t="s">
        <v>41</v>
      </c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2"/>
    </row>
    <row r="38" spans="3:14" ht="12.75" x14ac:dyDescent="0.2">
      <c r="C38" s="127" t="s">
        <v>42</v>
      </c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2"/>
    </row>
    <row r="39" spans="3:14" ht="12.75" x14ac:dyDescent="0.2">
      <c r="C39" s="127" t="s">
        <v>43</v>
      </c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2"/>
    </row>
    <row r="40" spans="3:14" ht="15" x14ac:dyDescent="0.2">
      <c r="C40" s="129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2"/>
    </row>
    <row r="41" spans="3:14" ht="12.75" x14ac:dyDescent="0.2">
      <c r="C41" s="127" t="s">
        <v>44</v>
      </c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2"/>
    </row>
    <row r="42" spans="3:14" ht="12.75" x14ac:dyDescent="0.2">
      <c r="C42" s="127" t="s">
        <v>45</v>
      </c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2"/>
    </row>
    <row r="43" spans="3:14" ht="12.75" x14ac:dyDescent="0.2">
      <c r="C43" s="127" t="s">
        <v>46</v>
      </c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2"/>
    </row>
    <row r="44" spans="3:14" ht="12.75" x14ac:dyDescent="0.2">
      <c r="C44" s="127" t="s">
        <v>47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2"/>
    </row>
    <row r="45" spans="3:14" ht="15" x14ac:dyDescent="0.2">
      <c r="C45" s="129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2"/>
    </row>
    <row r="46" spans="3:14" ht="12.75" x14ac:dyDescent="0.2">
      <c r="C46" s="127" t="s">
        <v>76</v>
      </c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2"/>
    </row>
    <row r="47" spans="3:14" ht="12.75" x14ac:dyDescent="0.2">
      <c r="C47" s="127" t="s">
        <v>48</v>
      </c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2"/>
    </row>
    <row r="48" spans="3:14" ht="12.75" x14ac:dyDescent="0.2">
      <c r="C48" s="127" t="s">
        <v>49</v>
      </c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2"/>
    </row>
    <row r="49" spans="3:27" ht="12.75" x14ac:dyDescent="0.2">
      <c r="C49" s="127" t="s">
        <v>50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2"/>
    </row>
    <row r="50" spans="3:27" ht="12.75" x14ac:dyDescent="0.2">
      <c r="C50" s="127" t="s">
        <v>51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2"/>
    </row>
    <row r="51" spans="3:27" ht="12.75" x14ac:dyDescent="0.2">
      <c r="C51" s="127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2"/>
    </row>
    <row r="52" spans="3:27" ht="12.75" x14ac:dyDescent="0.2">
      <c r="C52" s="127" t="s">
        <v>98</v>
      </c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2"/>
    </row>
    <row r="53" spans="3:27" ht="12.75" x14ac:dyDescent="0.2">
      <c r="C53" s="127" t="s">
        <v>117</v>
      </c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2"/>
    </row>
    <row r="54" spans="3:27" ht="12.75" x14ac:dyDescent="0.2">
      <c r="C54" s="127" t="s">
        <v>99</v>
      </c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2"/>
    </row>
    <row r="55" spans="3:27" ht="12.75" x14ac:dyDescent="0.2">
      <c r="C55" s="127" t="s">
        <v>84</v>
      </c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2"/>
    </row>
    <row r="56" spans="3:27" ht="12.75" x14ac:dyDescent="0.2">
      <c r="C56" s="127" t="s">
        <v>100</v>
      </c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2"/>
    </row>
    <row r="57" spans="3:27" ht="12.75" x14ac:dyDescent="0.2">
      <c r="C57" s="127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2"/>
    </row>
    <row r="58" spans="3:27" x14ac:dyDescent="0.2"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6"/>
    </row>
    <row r="59" spans="3:27" x14ac:dyDescent="0.2">
      <c r="C59" s="124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6"/>
    </row>
    <row r="60" spans="3:27" ht="12.75" x14ac:dyDescent="0.2">
      <c r="C60" s="124"/>
      <c r="D60" s="133" t="s">
        <v>61</v>
      </c>
      <c r="E60" s="131"/>
      <c r="F60" s="131"/>
      <c r="G60" s="131"/>
      <c r="H60" s="131"/>
      <c r="I60" s="131"/>
      <c r="J60" s="131"/>
      <c r="K60" s="131"/>
      <c r="L60" s="131"/>
      <c r="M60" s="131"/>
      <c r="N60" s="132"/>
    </row>
    <row r="61" spans="3:27" ht="15" x14ac:dyDescent="0.2">
      <c r="C61" s="124"/>
      <c r="D61" s="134"/>
      <c r="E61" s="131"/>
      <c r="F61" s="131"/>
      <c r="G61" s="131"/>
      <c r="H61" s="131"/>
      <c r="I61" s="131"/>
      <c r="J61" s="131"/>
      <c r="K61" s="131"/>
      <c r="L61" s="131"/>
      <c r="M61" s="131"/>
      <c r="N61" s="132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</row>
    <row r="62" spans="3:27" ht="12.75" x14ac:dyDescent="0.2">
      <c r="C62" s="124"/>
      <c r="D62" s="133" t="s">
        <v>63</v>
      </c>
      <c r="E62" s="131"/>
      <c r="F62" s="131"/>
      <c r="G62" s="125"/>
      <c r="H62" s="131"/>
      <c r="I62" s="131"/>
      <c r="J62" s="131"/>
      <c r="K62" s="131"/>
      <c r="L62" s="131"/>
      <c r="M62" s="131"/>
      <c r="N62" s="132"/>
    </row>
    <row r="63" spans="3:27" ht="12.75" x14ac:dyDescent="0.2">
      <c r="C63" s="124"/>
      <c r="D63" s="133" t="s">
        <v>62</v>
      </c>
      <c r="E63" s="131"/>
      <c r="F63" s="131"/>
      <c r="G63" s="131"/>
      <c r="H63" s="131"/>
      <c r="I63" s="131"/>
      <c r="J63" s="131"/>
      <c r="K63" s="131"/>
      <c r="L63" s="131"/>
      <c r="M63" s="131"/>
      <c r="N63" s="132"/>
    </row>
    <row r="64" spans="3:27" ht="12.75" x14ac:dyDescent="0.2">
      <c r="C64" s="124"/>
      <c r="D64" s="133" t="s">
        <v>64</v>
      </c>
      <c r="E64" s="131"/>
      <c r="F64" s="131"/>
      <c r="G64" s="131"/>
      <c r="H64" s="131"/>
      <c r="I64" s="131"/>
      <c r="J64" s="131"/>
      <c r="K64" s="131"/>
      <c r="L64" s="131"/>
      <c r="M64" s="131"/>
      <c r="N64" s="132"/>
    </row>
    <row r="65" spans="3:14" ht="12.75" x14ac:dyDescent="0.2">
      <c r="C65" s="124"/>
      <c r="D65" s="133" t="s">
        <v>85</v>
      </c>
      <c r="E65" s="131"/>
      <c r="F65" s="131"/>
      <c r="G65" s="131"/>
      <c r="H65" s="131"/>
      <c r="I65" s="131"/>
      <c r="J65" s="131"/>
      <c r="K65" s="131"/>
      <c r="L65" s="131"/>
      <c r="M65" s="131"/>
      <c r="N65" s="132"/>
    </row>
    <row r="66" spans="3:14" ht="12.75" x14ac:dyDescent="0.2">
      <c r="C66" s="124"/>
      <c r="D66" s="133" t="s">
        <v>86</v>
      </c>
      <c r="E66" s="131"/>
      <c r="F66" s="131"/>
      <c r="G66" s="131"/>
      <c r="H66" s="131"/>
      <c r="I66" s="131"/>
      <c r="J66" s="131"/>
      <c r="K66" s="131"/>
      <c r="L66" s="131"/>
      <c r="M66" s="131"/>
      <c r="N66" s="132"/>
    </row>
    <row r="67" spans="3:14" ht="12.75" x14ac:dyDescent="0.2">
      <c r="C67" s="124"/>
      <c r="D67" s="133" t="s">
        <v>77</v>
      </c>
      <c r="E67" s="131"/>
      <c r="F67" s="131"/>
      <c r="G67" s="131"/>
      <c r="H67" s="131"/>
      <c r="I67" s="131"/>
      <c r="J67" s="131"/>
      <c r="K67" s="131"/>
      <c r="L67" s="131"/>
      <c r="M67" s="131"/>
      <c r="N67" s="132"/>
    </row>
    <row r="68" spans="3:14" ht="12.75" x14ac:dyDescent="0.2">
      <c r="C68" s="124"/>
      <c r="D68" s="133"/>
      <c r="E68" s="131"/>
      <c r="F68" s="131"/>
      <c r="G68" s="125"/>
      <c r="H68" s="125"/>
      <c r="I68" s="125"/>
      <c r="J68" s="125"/>
      <c r="K68" s="125"/>
      <c r="L68" s="125"/>
      <c r="M68" s="125"/>
      <c r="N68" s="126"/>
    </row>
    <row r="69" spans="3:14" x14ac:dyDescent="0.2">
      <c r="C69" s="124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6"/>
    </row>
    <row r="70" spans="3:14" ht="12.75" x14ac:dyDescent="0.2">
      <c r="C70" s="127" t="s">
        <v>102</v>
      </c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2"/>
    </row>
    <row r="71" spans="3:14" ht="15" x14ac:dyDescent="0.2">
      <c r="C71" s="129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2"/>
    </row>
    <row r="72" spans="3:14" ht="15" x14ac:dyDescent="0.2">
      <c r="C72" s="129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2"/>
    </row>
    <row r="73" spans="3:14" ht="12.75" x14ac:dyDescent="0.2">
      <c r="C73" s="127" t="s">
        <v>130</v>
      </c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2"/>
    </row>
    <row r="74" spans="3:14" ht="12.75" x14ac:dyDescent="0.2">
      <c r="C74" s="127" t="s">
        <v>52</v>
      </c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2"/>
    </row>
    <row r="75" spans="3:14" ht="15" x14ac:dyDescent="0.2">
      <c r="C75" s="129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2"/>
    </row>
    <row r="76" spans="3:14" ht="12.75" x14ac:dyDescent="0.2">
      <c r="C76" s="127" t="s">
        <v>104</v>
      </c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2"/>
    </row>
    <row r="77" spans="3:14" ht="15" x14ac:dyDescent="0.2">
      <c r="C77" s="129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2"/>
    </row>
    <row r="78" spans="3:14" ht="12.75" x14ac:dyDescent="0.2">
      <c r="C78" s="127" t="s">
        <v>105</v>
      </c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2"/>
    </row>
    <row r="79" spans="3:14" ht="15" x14ac:dyDescent="0.2">
      <c r="C79" s="129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2"/>
    </row>
    <row r="80" spans="3:14" ht="12.75" x14ac:dyDescent="0.2">
      <c r="C80" s="127" t="s">
        <v>53</v>
      </c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2"/>
    </row>
    <row r="81" spans="3:14" ht="15" x14ac:dyDescent="0.2">
      <c r="C81" s="129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2"/>
    </row>
    <row r="82" spans="3:14" ht="15" x14ac:dyDescent="0.2">
      <c r="C82" s="129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2"/>
    </row>
    <row r="83" spans="3:14" ht="12.75" x14ac:dyDescent="0.2">
      <c r="C83" s="127" t="s">
        <v>103</v>
      </c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2"/>
    </row>
    <row r="84" spans="3:14" ht="15" x14ac:dyDescent="0.2">
      <c r="C84" s="129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2"/>
    </row>
    <row r="85" spans="3:14" ht="15" x14ac:dyDescent="0.2">
      <c r="C85" s="129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2"/>
    </row>
    <row r="86" spans="3:14" ht="12.75" x14ac:dyDescent="0.2">
      <c r="C86" s="127" t="s">
        <v>78</v>
      </c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2"/>
    </row>
    <row r="87" spans="3:14" ht="12.75" x14ac:dyDescent="0.2">
      <c r="C87" s="127" t="s">
        <v>54</v>
      </c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2"/>
    </row>
    <row r="88" spans="3:14" ht="15" x14ac:dyDescent="0.2">
      <c r="C88" s="129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2"/>
    </row>
    <row r="89" spans="3:14" ht="12.75" x14ac:dyDescent="0.2">
      <c r="C89" s="127" t="s">
        <v>123</v>
      </c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2"/>
    </row>
    <row r="90" spans="3:14" ht="12.75" x14ac:dyDescent="0.2">
      <c r="C90" s="127" t="s">
        <v>120</v>
      </c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2"/>
    </row>
    <row r="91" spans="3:14" ht="12.75" x14ac:dyDescent="0.2">
      <c r="C91" s="127" t="s">
        <v>121</v>
      </c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2"/>
    </row>
    <row r="92" spans="3:14" ht="12.75" x14ac:dyDescent="0.2">
      <c r="C92" s="127" t="s">
        <v>122</v>
      </c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2"/>
    </row>
    <row r="93" spans="3:14" ht="15" x14ac:dyDescent="0.2">
      <c r="C93" s="129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2"/>
    </row>
    <row r="94" spans="3:14" ht="12.75" x14ac:dyDescent="0.2">
      <c r="C94" s="127" t="s">
        <v>55</v>
      </c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2"/>
    </row>
    <row r="95" spans="3:14" ht="12.75" x14ac:dyDescent="0.2">
      <c r="C95" s="127" t="s">
        <v>56</v>
      </c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2"/>
    </row>
    <row r="96" spans="3:14" ht="15" x14ac:dyDescent="0.2">
      <c r="C96" s="129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2"/>
    </row>
    <row r="97" spans="3:14" ht="12.75" x14ac:dyDescent="0.2">
      <c r="C97" s="127" t="s">
        <v>134</v>
      </c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2"/>
    </row>
    <row r="98" spans="3:14" ht="12.75" x14ac:dyDescent="0.2">
      <c r="C98" s="127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2"/>
    </row>
    <row r="99" spans="3:14" ht="15" x14ac:dyDescent="0.2">
      <c r="C99" s="129" t="s">
        <v>135</v>
      </c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2"/>
    </row>
    <row r="100" spans="3:14" ht="12.75" x14ac:dyDescent="0.2">
      <c r="C100" s="127" t="s">
        <v>87</v>
      </c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2"/>
    </row>
    <row r="101" spans="3:14" ht="12.75" x14ac:dyDescent="0.2">
      <c r="C101" s="127" t="s">
        <v>110</v>
      </c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2"/>
    </row>
    <row r="102" spans="3:14" ht="12.75" x14ac:dyDescent="0.2">
      <c r="C102" s="127" t="s">
        <v>127</v>
      </c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2"/>
    </row>
    <row r="103" spans="3:14" ht="12.75" x14ac:dyDescent="0.2">
      <c r="C103" s="127" t="s">
        <v>124</v>
      </c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2"/>
    </row>
    <row r="104" spans="3:14" x14ac:dyDescent="0.2">
      <c r="C104" s="124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6"/>
    </row>
    <row r="105" spans="3:14" ht="12.75" x14ac:dyDescent="0.2">
      <c r="C105" s="127" t="s">
        <v>57</v>
      </c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2"/>
    </row>
    <row r="106" spans="3:14" ht="12.75" x14ac:dyDescent="0.2">
      <c r="C106" s="127" t="s">
        <v>58</v>
      </c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2"/>
    </row>
    <row r="107" spans="3:14" ht="12.75" x14ac:dyDescent="0.2">
      <c r="C107" s="127" t="s">
        <v>59</v>
      </c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2"/>
    </row>
    <row r="108" spans="3:14" ht="12.75" x14ac:dyDescent="0.2">
      <c r="C108" s="127" t="s">
        <v>60</v>
      </c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2"/>
    </row>
    <row r="109" spans="3:14" ht="15" x14ac:dyDescent="0.2">
      <c r="C109" s="129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2"/>
    </row>
    <row r="110" spans="3:14" ht="12.75" x14ac:dyDescent="0.2">
      <c r="C110" s="127" t="s">
        <v>82</v>
      </c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2"/>
    </row>
    <row r="111" spans="3:14" ht="15" x14ac:dyDescent="0.2">
      <c r="C111" s="129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2"/>
    </row>
    <row r="112" spans="3:14" ht="12.75" x14ac:dyDescent="0.2">
      <c r="C112" s="127" t="s">
        <v>125</v>
      </c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2"/>
    </row>
    <row r="113" spans="3:14" ht="12.75" x14ac:dyDescent="0.2">
      <c r="C113" s="127" t="s">
        <v>106</v>
      </c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2"/>
    </row>
    <row r="114" spans="3:14" ht="12.75" x14ac:dyDescent="0.2">
      <c r="C114" s="127" t="s">
        <v>107</v>
      </c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2"/>
    </row>
    <row r="115" spans="3:14" x14ac:dyDescent="0.2">
      <c r="C115" s="124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6"/>
    </row>
    <row r="116" spans="3:14" x14ac:dyDescent="0.2">
      <c r="C116" s="124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6"/>
    </row>
    <row r="117" spans="3:14" ht="12.75" x14ac:dyDescent="0.2">
      <c r="C117" s="127" t="s">
        <v>126</v>
      </c>
      <c r="D117" s="131"/>
      <c r="E117" s="131"/>
      <c r="F117" s="131"/>
      <c r="G117" s="131"/>
      <c r="H117" s="131"/>
      <c r="I117" s="131"/>
      <c r="J117" s="131"/>
      <c r="K117" s="125"/>
      <c r="L117" s="125"/>
      <c r="M117" s="125"/>
      <c r="N117" s="126"/>
    </row>
    <row r="118" spans="3:14" ht="12.75" x14ac:dyDescent="0.2">
      <c r="C118" s="127" t="s">
        <v>133</v>
      </c>
      <c r="D118" s="131"/>
      <c r="E118" s="131"/>
      <c r="F118" s="131"/>
      <c r="G118" s="131"/>
      <c r="H118" s="131"/>
      <c r="I118" s="131"/>
      <c r="J118" s="131"/>
      <c r="K118" s="125"/>
      <c r="L118" s="125"/>
      <c r="M118" s="125"/>
      <c r="N118" s="126"/>
    </row>
    <row r="119" spans="3:14" x14ac:dyDescent="0.2">
      <c r="C119" s="124"/>
      <c r="D119" s="125"/>
      <c r="E119" s="125"/>
      <c r="F119" s="125"/>
      <c r="G119" s="125"/>
      <c r="H119" s="125"/>
      <c r="I119" s="125"/>
      <c r="J119" s="125"/>
      <c r="K119" s="131"/>
      <c r="L119" s="131"/>
      <c r="M119" s="131"/>
      <c r="N119" s="132"/>
    </row>
    <row r="120" spans="3:14" x14ac:dyDescent="0.2">
      <c r="C120" s="124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6"/>
    </row>
    <row r="121" spans="3:14" x14ac:dyDescent="0.2">
      <c r="C121" s="124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6"/>
    </row>
    <row r="122" spans="3:14" ht="12.75" x14ac:dyDescent="0.2">
      <c r="C122" s="167" t="s">
        <v>108</v>
      </c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9"/>
    </row>
    <row r="123" spans="3:14" ht="12.75" x14ac:dyDescent="0.2">
      <c r="C123" s="167" t="s">
        <v>83</v>
      </c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1"/>
    </row>
    <row r="124" spans="3:14" ht="12.75" x14ac:dyDescent="0.2">
      <c r="C124" s="167" t="s">
        <v>88</v>
      </c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1"/>
    </row>
    <row r="125" spans="3:14" ht="12.75" x14ac:dyDescent="0.2">
      <c r="C125" s="167" t="s">
        <v>141</v>
      </c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1"/>
    </row>
    <row r="126" spans="3:14" ht="12.75" x14ac:dyDescent="0.2">
      <c r="C126" s="167" t="s">
        <v>142</v>
      </c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1"/>
    </row>
    <row r="127" spans="3:14" ht="12.75" x14ac:dyDescent="0.2">
      <c r="C127" s="167" t="s">
        <v>89</v>
      </c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1"/>
    </row>
    <row r="128" spans="3:14" ht="12.75" x14ac:dyDescent="0.2">
      <c r="C128" s="167" t="s">
        <v>90</v>
      </c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1"/>
    </row>
    <row r="129" spans="3:14" ht="12.75" x14ac:dyDescent="0.2">
      <c r="C129" s="127" t="s">
        <v>143</v>
      </c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2"/>
    </row>
    <row r="130" spans="3:14" x14ac:dyDescent="0.2">
      <c r="C130" s="124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6"/>
    </row>
    <row r="131" spans="3:14" ht="12.75" x14ac:dyDescent="0.2">
      <c r="C131" s="127" t="s">
        <v>65</v>
      </c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2"/>
    </row>
    <row r="132" spans="3:14" ht="12.75" x14ac:dyDescent="0.2">
      <c r="C132" s="127" t="s">
        <v>79</v>
      </c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2"/>
    </row>
    <row r="133" spans="3:14" ht="12.75" x14ac:dyDescent="0.2">
      <c r="C133" s="127" t="s">
        <v>116</v>
      </c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2"/>
    </row>
    <row r="134" spans="3:14" ht="12.75" x14ac:dyDescent="0.2">
      <c r="C134" s="127" t="s">
        <v>66</v>
      </c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2"/>
    </row>
    <row r="135" spans="3:14" ht="12.75" x14ac:dyDescent="0.2">
      <c r="C135" s="127" t="s">
        <v>111</v>
      </c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2"/>
    </row>
    <row r="136" spans="3:14" ht="12.75" x14ac:dyDescent="0.2">
      <c r="C136" s="127" t="s">
        <v>91</v>
      </c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2"/>
    </row>
    <row r="137" spans="3:14" x14ac:dyDescent="0.2">
      <c r="C137" s="124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6"/>
    </row>
    <row r="138" spans="3:14" x14ac:dyDescent="0.2">
      <c r="C138" s="124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  <c r="N138" s="126"/>
    </row>
    <row r="139" spans="3:14" ht="12.75" x14ac:dyDescent="0.2">
      <c r="C139" s="127" t="s">
        <v>67</v>
      </c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2"/>
    </row>
    <row r="140" spans="3:14" ht="12.75" x14ac:dyDescent="0.2">
      <c r="C140" s="127" t="s">
        <v>68</v>
      </c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2"/>
    </row>
    <row r="141" spans="3:14" ht="12.75" x14ac:dyDescent="0.2">
      <c r="C141" s="127" t="s">
        <v>92</v>
      </c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2"/>
    </row>
    <row r="142" spans="3:14" ht="12.75" x14ac:dyDescent="0.2">
      <c r="C142" s="127" t="s">
        <v>93</v>
      </c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2"/>
    </row>
    <row r="143" spans="3:14" ht="12.75" x14ac:dyDescent="0.2">
      <c r="C143" s="127" t="s">
        <v>94</v>
      </c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2"/>
    </row>
    <row r="144" spans="3:14" ht="12.75" x14ac:dyDescent="0.2">
      <c r="C144" s="127" t="s">
        <v>69</v>
      </c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2"/>
    </row>
    <row r="145" spans="3:24" x14ac:dyDescent="0.2">
      <c r="C145" s="124"/>
      <c r="D145" s="125"/>
      <c r="E145" s="125"/>
      <c r="F145" s="125"/>
      <c r="G145" s="125"/>
      <c r="H145" s="125"/>
      <c r="I145" s="125"/>
      <c r="J145" s="125"/>
      <c r="K145" s="125"/>
      <c r="L145" s="125"/>
      <c r="M145" s="125"/>
      <c r="N145" s="126"/>
    </row>
    <row r="146" spans="3:24" x14ac:dyDescent="0.2">
      <c r="C146" s="124"/>
      <c r="D146" s="125"/>
      <c r="E146" s="125"/>
      <c r="F146" s="125"/>
      <c r="G146" s="125"/>
      <c r="H146" s="125"/>
      <c r="I146" s="125"/>
      <c r="J146" s="125"/>
      <c r="K146" s="125"/>
      <c r="L146" s="125"/>
      <c r="M146" s="125"/>
      <c r="N146" s="126"/>
    </row>
    <row r="147" spans="3:24" ht="12.75" x14ac:dyDescent="0.2">
      <c r="C147" s="127" t="s">
        <v>70</v>
      </c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2"/>
    </row>
    <row r="148" spans="3:24" ht="12.75" x14ac:dyDescent="0.2">
      <c r="C148" s="127" t="s">
        <v>144</v>
      </c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2"/>
    </row>
    <row r="149" spans="3:24" ht="12.75" x14ac:dyDescent="0.2">
      <c r="C149" s="127" t="s">
        <v>153</v>
      </c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2"/>
    </row>
    <row r="150" spans="3:24" ht="12.75" x14ac:dyDescent="0.2">
      <c r="C150" s="127" t="s">
        <v>70</v>
      </c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2"/>
    </row>
    <row r="151" spans="3:24" ht="15" x14ac:dyDescent="0.2">
      <c r="C151" s="129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2"/>
    </row>
    <row r="152" spans="3:24" ht="12.75" x14ac:dyDescent="0.2">
      <c r="C152" s="127" t="s">
        <v>112</v>
      </c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2"/>
    </row>
    <row r="153" spans="3:24" ht="12.75" x14ac:dyDescent="0.2">
      <c r="C153" s="127" t="s">
        <v>71</v>
      </c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2"/>
    </row>
    <row r="154" spans="3:24" ht="12.75" x14ac:dyDescent="0.2">
      <c r="C154" s="127" t="s">
        <v>72</v>
      </c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2"/>
    </row>
    <row r="155" spans="3:24" ht="12.75" x14ac:dyDescent="0.2">
      <c r="C155" s="127" t="s">
        <v>73</v>
      </c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2"/>
    </row>
    <row r="156" spans="3:24" ht="12.75" x14ac:dyDescent="0.2">
      <c r="C156" s="127" t="s">
        <v>74</v>
      </c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2"/>
    </row>
    <row r="157" spans="3:24" ht="12.75" x14ac:dyDescent="0.2">
      <c r="C157" s="127" t="s">
        <v>95</v>
      </c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2"/>
      <c r="O157" s="125"/>
      <c r="P157" s="125"/>
      <c r="Q157" s="125"/>
      <c r="R157" s="125"/>
      <c r="S157" s="125"/>
      <c r="T157" s="125"/>
      <c r="U157" s="125"/>
      <c r="V157" s="125"/>
      <c r="W157" s="125"/>
      <c r="X157" s="125"/>
    </row>
    <row r="158" spans="3:24" ht="15" x14ac:dyDescent="0.2">
      <c r="C158" s="129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2"/>
      <c r="O158" s="125"/>
      <c r="P158" s="125"/>
      <c r="Q158" s="125"/>
      <c r="R158" s="125"/>
      <c r="S158" s="125"/>
      <c r="T158" s="125"/>
      <c r="U158" s="125"/>
      <c r="V158" s="125"/>
      <c r="W158" s="125"/>
      <c r="X158" s="125"/>
    </row>
    <row r="159" spans="3:24" x14ac:dyDescent="0.2">
      <c r="C159" s="124"/>
      <c r="D159" s="125"/>
      <c r="E159" s="125"/>
      <c r="F159" s="125"/>
      <c r="G159" s="125"/>
      <c r="H159" s="125"/>
      <c r="I159" s="125"/>
      <c r="J159" s="125"/>
      <c r="K159" s="125"/>
      <c r="L159" s="125"/>
      <c r="M159" s="125"/>
      <c r="N159" s="126"/>
      <c r="O159" s="125"/>
      <c r="P159" s="125"/>
      <c r="Q159" s="125"/>
      <c r="R159" s="125"/>
      <c r="S159" s="125"/>
      <c r="T159" s="125"/>
      <c r="U159" s="125"/>
      <c r="V159" s="125"/>
      <c r="W159" s="125"/>
      <c r="X159" s="125"/>
    </row>
    <row r="160" spans="3:24" ht="15" x14ac:dyDescent="0.2">
      <c r="C160" s="129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2"/>
      <c r="O160" s="125"/>
      <c r="P160" s="125"/>
      <c r="Q160" s="125"/>
      <c r="R160" s="125"/>
      <c r="S160" s="125"/>
      <c r="T160" s="125"/>
      <c r="U160" s="125"/>
      <c r="V160" s="125"/>
      <c r="W160" s="125"/>
      <c r="X160" s="125"/>
    </row>
    <row r="161" spans="3:24" ht="12.75" x14ac:dyDescent="0.2">
      <c r="C161" s="127" t="s">
        <v>128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2"/>
      <c r="O161" s="125"/>
      <c r="P161" s="125"/>
      <c r="Q161" s="125"/>
      <c r="R161" s="125"/>
      <c r="S161" s="125"/>
      <c r="T161" s="125"/>
      <c r="U161" s="125"/>
      <c r="V161" s="125"/>
      <c r="W161" s="125"/>
      <c r="X161" s="125"/>
    </row>
    <row r="162" spans="3:24" ht="15" x14ac:dyDescent="0.2">
      <c r="C162" s="129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2"/>
      <c r="O162" s="125"/>
      <c r="P162" s="125"/>
      <c r="Q162" s="125"/>
      <c r="R162" s="125"/>
      <c r="S162" s="125"/>
      <c r="T162" s="125"/>
      <c r="U162" s="125"/>
      <c r="V162" s="125"/>
      <c r="W162" s="125"/>
      <c r="X162" s="125"/>
    </row>
    <row r="163" spans="3:24" ht="12.75" x14ac:dyDescent="0.2">
      <c r="C163" s="127" t="s">
        <v>145</v>
      </c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2"/>
      <c r="O163" s="125"/>
      <c r="P163" s="125"/>
      <c r="Q163" s="125"/>
      <c r="R163" s="125"/>
      <c r="S163" s="125"/>
      <c r="T163" s="125"/>
      <c r="U163" s="125"/>
      <c r="V163" s="125"/>
      <c r="W163" s="125"/>
      <c r="X163" s="125"/>
    </row>
    <row r="164" spans="3:24" ht="12.75" x14ac:dyDescent="0.2">
      <c r="C164" s="127" t="s">
        <v>146</v>
      </c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2"/>
      <c r="O164" s="125"/>
      <c r="P164" s="125"/>
      <c r="Q164" s="125"/>
      <c r="R164" s="125"/>
      <c r="S164" s="125"/>
      <c r="T164" s="125"/>
      <c r="U164" s="125"/>
      <c r="V164" s="125"/>
      <c r="W164" s="125"/>
      <c r="X164" s="125"/>
    </row>
    <row r="165" spans="3:24" x14ac:dyDescent="0.2">
      <c r="C165" s="144"/>
      <c r="D165" s="140"/>
      <c r="E165" s="140"/>
      <c r="F165" s="140"/>
      <c r="G165" s="140"/>
      <c r="H165" s="140"/>
      <c r="I165" s="140"/>
      <c r="J165" s="140"/>
      <c r="K165" s="140"/>
      <c r="L165" s="140"/>
      <c r="M165" s="125"/>
      <c r="N165" s="126"/>
      <c r="O165" s="125"/>
      <c r="P165" s="125"/>
      <c r="Q165" s="125"/>
      <c r="R165" s="125"/>
      <c r="S165" s="125"/>
      <c r="T165" s="125"/>
      <c r="U165" s="125"/>
      <c r="V165" s="125"/>
      <c r="W165" s="125"/>
      <c r="X165" s="125"/>
    </row>
    <row r="166" spans="3:24" x14ac:dyDescent="0.2">
      <c r="C166" s="124"/>
      <c r="D166" s="125"/>
      <c r="E166" s="125"/>
      <c r="F166" s="125"/>
      <c r="G166" s="125"/>
      <c r="H166" s="125"/>
      <c r="I166" s="125"/>
      <c r="J166" s="125"/>
      <c r="K166" s="125"/>
      <c r="L166" s="125"/>
      <c r="M166" s="125"/>
      <c r="N166" s="126"/>
      <c r="O166" s="125"/>
      <c r="P166" s="125"/>
      <c r="Q166" s="125"/>
      <c r="R166" s="125"/>
      <c r="S166" s="125"/>
      <c r="T166" s="125"/>
      <c r="U166" s="125"/>
      <c r="V166" s="125"/>
      <c r="W166" s="125"/>
      <c r="X166" s="125"/>
    </row>
    <row r="167" spans="3:24" ht="12.75" x14ac:dyDescent="0.2">
      <c r="C167" s="127" t="s">
        <v>80</v>
      </c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2"/>
      <c r="O167" s="125"/>
      <c r="P167" s="125"/>
      <c r="Q167" s="125"/>
      <c r="R167" s="125"/>
      <c r="S167" s="125"/>
      <c r="T167" s="125"/>
      <c r="U167" s="125"/>
      <c r="V167" s="125"/>
      <c r="W167" s="125"/>
      <c r="X167" s="125"/>
    </row>
    <row r="168" spans="3:24" ht="12.75" x14ac:dyDescent="0.2">
      <c r="C168" s="127" t="s">
        <v>113</v>
      </c>
      <c r="D168" s="131"/>
      <c r="E168" s="131"/>
      <c r="F168" s="166"/>
      <c r="G168" s="166"/>
      <c r="H168" s="166"/>
      <c r="I168" s="165"/>
      <c r="J168" s="165"/>
      <c r="K168" s="165"/>
      <c r="L168" s="165"/>
      <c r="M168" s="131"/>
      <c r="N168" s="132"/>
      <c r="O168" s="125"/>
      <c r="P168" s="125"/>
      <c r="Q168" s="125"/>
      <c r="R168" s="125"/>
      <c r="S168" s="125"/>
      <c r="T168" s="125"/>
      <c r="U168" s="125"/>
      <c r="V168" s="125"/>
      <c r="W168" s="125"/>
      <c r="X168" s="125"/>
    </row>
    <row r="169" spans="3:24" ht="12.75" x14ac:dyDescent="0.2">
      <c r="C169" s="127" t="s">
        <v>80</v>
      </c>
      <c r="D169" s="131"/>
      <c r="E169" s="131"/>
      <c r="F169" s="166"/>
      <c r="G169" s="166"/>
      <c r="H169" s="166"/>
      <c r="I169" s="165"/>
      <c r="J169" s="165"/>
      <c r="K169" s="165"/>
      <c r="L169" s="165"/>
      <c r="M169" s="131"/>
      <c r="N169" s="132"/>
      <c r="O169" s="125"/>
      <c r="P169" s="125"/>
      <c r="Q169" s="125"/>
      <c r="R169" s="125"/>
      <c r="S169" s="125"/>
      <c r="T169" s="125"/>
      <c r="U169" s="125"/>
      <c r="V169" s="125"/>
      <c r="W169" s="125"/>
      <c r="X169" s="125"/>
    </row>
    <row r="170" spans="3:24" ht="12.75" x14ac:dyDescent="0.2">
      <c r="C170" s="127" t="s">
        <v>136</v>
      </c>
      <c r="D170" s="131"/>
      <c r="E170" s="131"/>
      <c r="F170" s="166"/>
      <c r="G170" s="166"/>
      <c r="H170" s="166"/>
      <c r="I170" s="165"/>
      <c r="J170" s="165"/>
      <c r="K170" s="165"/>
      <c r="L170" s="165"/>
      <c r="M170" s="131"/>
      <c r="N170" s="132"/>
      <c r="O170" s="125"/>
      <c r="P170" s="125"/>
      <c r="Q170" s="125"/>
      <c r="R170" s="125"/>
      <c r="S170" s="125"/>
      <c r="T170" s="125"/>
      <c r="U170" s="125"/>
      <c r="V170" s="125"/>
      <c r="W170" s="125"/>
      <c r="X170" s="125"/>
    </row>
    <row r="171" spans="3:24" ht="12.75" x14ac:dyDescent="0.2">
      <c r="C171" s="127" t="s">
        <v>138</v>
      </c>
      <c r="D171" s="131"/>
      <c r="E171" s="131"/>
      <c r="F171" s="166"/>
      <c r="G171" s="166"/>
      <c r="H171" s="166"/>
      <c r="I171" s="165"/>
      <c r="J171" s="165"/>
      <c r="K171" s="165"/>
      <c r="L171" s="165"/>
      <c r="M171" s="131"/>
      <c r="N171" s="132"/>
      <c r="O171" s="125"/>
      <c r="P171" s="125"/>
      <c r="Q171" s="125"/>
      <c r="R171" s="125"/>
      <c r="S171" s="125"/>
      <c r="T171" s="125"/>
      <c r="U171" s="125"/>
      <c r="V171" s="125"/>
      <c r="W171" s="125"/>
      <c r="X171" s="125"/>
    </row>
    <row r="172" spans="3:24" ht="12.75" x14ac:dyDescent="0.2">
      <c r="C172" s="127" t="s">
        <v>137</v>
      </c>
      <c r="D172" s="131"/>
      <c r="E172" s="131"/>
      <c r="F172" s="166"/>
      <c r="G172" s="166"/>
      <c r="H172" s="166"/>
      <c r="I172" s="165"/>
      <c r="J172" s="165"/>
      <c r="K172" s="165"/>
      <c r="L172" s="165"/>
      <c r="M172" s="131"/>
      <c r="N172" s="132"/>
      <c r="O172" s="125"/>
      <c r="P172" s="125"/>
      <c r="Q172" s="125"/>
      <c r="R172" s="125"/>
      <c r="S172" s="125"/>
      <c r="T172" s="125"/>
      <c r="U172" s="125"/>
      <c r="V172" s="125"/>
      <c r="W172" s="125"/>
      <c r="X172" s="125"/>
    </row>
    <row r="173" spans="3:24" ht="12.75" x14ac:dyDescent="0.2">
      <c r="C173" s="127" t="s">
        <v>140</v>
      </c>
      <c r="D173" s="131"/>
      <c r="E173" s="131"/>
      <c r="F173" s="166"/>
      <c r="G173" s="166"/>
      <c r="H173" s="166"/>
      <c r="I173" s="165"/>
      <c r="J173" s="165"/>
      <c r="K173" s="165"/>
      <c r="L173" s="165"/>
      <c r="M173" s="131"/>
      <c r="N173" s="132"/>
      <c r="O173" s="125"/>
      <c r="P173" s="125"/>
      <c r="Q173" s="125"/>
      <c r="R173" s="125"/>
      <c r="S173" s="125"/>
      <c r="T173" s="125"/>
      <c r="U173" s="125"/>
      <c r="V173" s="125"/>
      <c r="W173" s="125"/>
      <c r="X173" s="125"/>
    </row>
    <row r="174" spans="3:24" ht="12.75" x14ac:dyDescent="0.2">
      <c r="C174" s="127" t="s">
        <v>139</v>
      </c>
      <c r="D174" s="131"/>
      <c r="E174" s="131"/>
      <c r="F174" s="166"/>
      <c r="G174" s="166"/>
      <c r="H174" s="166"/>
      <c r="I174" s="165"/>
      <c r="J174" s="165"/>
      <c r="K174" s="165"/>
      <c r="L174" s="165"/>
      <c r="M174" s="131"/>
      <c r="N174" s="132"/>
      <c r="O174" s="125"/>
      <c r="P174" s="125"/>
      <c r="Q174" s="125"/>
      <c r="R174" s="125"/>
      <c r="S174" s="125"/>
      <c r="T174" s="125"/>
      <c r="U174" s="125"/>
      <c r="V174" s="125"/>
      <c r="W174" s="125"/>
      <c r="X174" s="125"/>
    </row>
    <row r="175" spans="3:24" ht="12.75" x14ac:dyDescent="0.2">
      <c r="C175" s="127" t="s">
        <v>81</v>
      </c>
      <c r="D175" s="131"/>
      <c r="E175" s="131"/>
      <c r="F175" s="166"/>
      <c r="G175" s="166"/>
      <c r="H175" s="166"/>
      <c r="I175" s="165"/>
      <c r="J175" s="165"/>
      <c r="K175" s="165"/>
      <c r="L175" s="165"/>
      <c r="M175" s="131"/>
      <c r="N175" s="132"/>
      <c r="O175" s="125"/>
      <c r="P175" s="125"/>
      <c r="Q175" s="125"/>
      <c r="R175" s="125"/>
      <c r="S175" s="125"/>
      <c r="T175" s="125"/>
      <c r="U175" s="125"/>
      <c r="V175" s="125"/>
      <c r="W175" s="125"/>
      <c r="X175" s="125"/>
    </row>
    <row r="176" spans="3:24" x14ac:dyDescent="0.2">
      <c r="C176" s="124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  <c r="N176" s="132"/>
      <c r="O176" s="125"/>
      <c r="P176" s="125"/>
      <c r="Q176" s="125"/>
      <c r="R176" s="125"/>
      <c r="S176" s="125"/>
      <c r="T176" s="125"/>
      <c r="U176" s="125"/>
      <c r="V176" s="125"/>
      <c r="W176" s="125"/>
      <c r="X176" s="125"/>
    </row>
    <row r="177" spans="1:24" ht="15" x14ac:dyDescent="0.2">
      <c r="C177" s="129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2"/>
      <c r="O177" s="125"/>
      <c r="P177" s="125"/>
      <c r="Q177" s="125"/>
      <c r="R177" s="125"/>
      <c r="S177" s="125"/>
      <c r="T177" s="125"/>
      <c r="U177" s="125"/>
      <c r="V177" s="125"/>
      <c r="W177" s="125"/>
      <c r="X177" s="125"/>
    </row>
    <row r="178" spans="1:24" ht="12.75" x14ac:dyDescent="0.2">
      <c r="C178" s="145" t="s">
        <v>114</v>
      </c>
      <c r="D178" s="143"/>
      <c r="E178" s="143"/>
      <c r="F178" s="143"/>
      <c r="G178" s="143"/>
      <c r="H178" s="143"/>
      <c r="I178" s="143"/>
      <c r="J178" s="143"/>
      <c r="K178" s="143"/>
      <c r="L178" s="143"/>
      <c r="M178" s="131"/>
      <c r="N178" s="132"/>
      <c r="O178" s="125"/>
      <c r="P178" s="125"/>
      <c r="Q178" s="125"/>
      <c r="R178" s="125"/>
      <c r="S178" s="125"/>
      <c r="T178" s="125"/>
      <c r="U178" s="125"/>
      <c r="V178" s="125"/>
      <c r="W178" s="125"/>
      <c r="X178" s="125"/>
    </row>
    <row r="179" spans="1:24" ht="12.75" x14ac:dyDescent="0.2">
      <c r="C179" s="145"/>
      <c r="D179" s="143"/>
      <c r="E179" s="143"/>
      <c r="F179" s="143"/>
      <c r="G179" s="143"/>
      <c r="H179" s="143"/>
      <c r="I179" s="143"/>
      <c r="J179" s="143"/>
      <c r="K179" s="143"/>
      <c r="L179" s="143"/>
      <c r="M179" s="131"/>
      <c r="N179" s="132"/>
      <c r="O179" s="125"/>
      <c r="P179" s="125"/>
      <c r="Q179" s="125"/>
      <c r="R179" s="125"/>
      <c r="S179" s="125"/>
      <c r="T179" s="125"/>
      <c r="U179" s="125"/>
      <c r="V179" s="125"/>
      <c r="W179" s="125"/>
      <c r="X179" s="125"/>
    </row>
    <row r="180" spans="1:24" ht="12.75" x14ac:dyDescent="0.2">
      <c r="C180" s="164">
        <f>IF(ISNUMBER(SEARCH("|", L7)), MID(L7,FIND("|",L7,1)+1,LEN(L7)), L7)</f>
        <v>0</v>
      </c>
      <c r="D180" s="143"/>
      <c r="E180" s="143"/>
      <c r="F180" s="143"/>
      <c r="G180" s="143"/>
      <c r="H180" s="143"/>
      <c r="I180" s="143"/>
      <c r="J180" s="143"/>
      <c r="K180" s="143"/>
      <c r="L180" s="143"/>
      <c r="M180" s="131"/>
      <c r="N180" s="132"/>
      <c r="O180" s="125"/>
      <c r="P180" s="125"/>
      <c r="Q180" s="125"/>
      <c r="R180" s="125"/>
      <c r="S180" s="125"/>
      <c r="T180" s="125"/>
      <c r="U180" s="125"/>
      <c r="V180" s="125"/>
      <c r="W180" s="125"/>
      <c r="X180" s="125"/>
    </row>
    <row r="181" spans="1:24" ht="12.75" x14ac:dyDescent="0.2">
      <c r="C181" s="145"/>
      <c r="D181" s="143"/>
      <c r="E181" s="143"/>
      <c r="F181" s="143"/>
      <c r="G181" s="143"/>
      <c r="H181" s="143"/>
      <c r="I181" s="143"/>
      <c r="J181" s="143"/>
      <c r="K181" s="143"/>
      <c r="L181" s="143"/>
      <c r="M181" s="131"/>
      <c r="N181" s="132"/>
      <c r="O181" s="125"/>
      <c r="P181" s="125"/>
      <c r="Q181" s="125"/>
      <c r="R181" s="125"/>
      <c r="S181" s="125"/>
      <c r="T181" s="125"/>
      <c r="U181" s="125"/>
      <c r="V181" s="125"/>
      <c r="W181" s="125"/>
      <c r="X181" s="125"/>
    </row>
    <row r="182" spans="1:24" x14ac:dyDescent="0.2">
      <c r="C182" s="144"/>
      <c r="D182" s="140"/>
      <c r="E182" s="140"/>
      <c r="F182" s="140"/>
      <c r="G182" s="140"/>
      <c r="H182" s="140"/>
      <c r="I182" s="140"/>
      <c r="J182" s="140"/>
      <c r="K182" s="140"/>
      <c r="L182" s="140"/>
      <c r="M182" s="125"/>
      <c r="N182" s="126"/>
      <c r="O182" s="125"/>
      <c r="P182" s="125"/>
      <c r="Q182" s="125"/>
      <c r="R182" s="125"/>
      <c r="S182" s="125"/>
      <c r="T182" s="125"/>
      <c r="U182" s="125"/>
      <c r="V182" s="125"/>
      <c r="W182" s="125"/>
      <c r="X182" s="125"/>
    </row>
    <row r="183" spans="1:24" x14ac:dyDescent="0.2">
      <c r="C183" s="124"/>
      <c r="D183" s="125"/>
      <c r="E183" s="125"/>
      <c r="F183" s="125"/>
      <c r="G183" s="125"/>
      <c r="H183" s="125"/>
      <c r="I183" s="125"/>
      <c r="J183" s="125"/>
      <c r="K183" s="125"/>
      <c r="L183" s="125"/>
      <c r="M183" s="125"/>
      <c r="N183" s="126"/>
      <c r="O183" s="125"/>
      <c r="P183" s="125"/>
      <c r="Q183" s="125"/>
      <c r="R183" s="125"/>
      <c r="S183" s="125"/>
      <c r="T183" s="125"/>
      <c r="U183" s="125"/>
      <c r="V183" s="125"/>
      <c r="W183" s="125"/>
      <c r="X183" s="125"/>
    </row>
    <row r="184" spans="1:24" x14ac:dyDescent="0.2">
      <c r="C184" s="124"/>
      <c r="D184" s="125"/>
      <c r="E184" s="125"/>
      <c r="F184" s="125"/>
      <c r="G184" s="125"/>
      <c r="H184" s="125"/>
      <c r="I184" s="125"/>
      <c r="J184" s="125"/>
      <c r="K184" s="125"/>
      <c r="L184" s="125"/>
      <c r="M184" s="125"/>
      <c r="N184" s="126"/>
      <c r="O184" s="125"/>
      <c r="P184" s="125"/>
      <c r="Q184" s="125"/>
      <c r="R184" s="125"/>
      <c r="S184" s="125"/>
      <c r="T184" s="125"/>
      <c r="U184" s="125"/>
      <c r="V184" s="125"/>
      <c r="W184" s="125"/>
      <c r="X184" s="125"/>
    </row>
    <row r="185" spans="1:24" x14ac:dyDescent="0.2">
      <c r="C185" s="135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7"/>
      <c r="O185" s="125"/>
      <c r="P185" s="125"/>
      <c r="Q185" s="125"/>
      <c r="R185" s="125"/>
      <c r="S185" s="125"/>
      <c r="T185" s="125"/>
      <c r="U185" s="125"/>
      <c r="V185" s="125"/>
      <c r="W185" s="125"/>
      <c r="X185" s="125"/>
    </row>
    <row r="186" spans="1:24" x14ac:dyDescent="0.2">
      <c r="M186" s="125"/>
      <c r="N186" s="125"/>
      <c r="O186" s="125"/>
      <c r="P186" s="125"/>
      <c r="Q186" s="125"/>
      <c r="R186" s="125"/>
      <c r="S186" s="125"/>
      <c r="T186" s="125"/>
      <c r="U186" s="125"/>
      <c r="V186" s="125"/>
      <c r="W186" s="125"/>
      <c r="X186" s="125"/>
    </row>
    <row r="187" spans="1:24" x14ac:dyDescent="0.2">
      <c r="A187" s="125"/>
      <c r="B187" s="125"/>
      <c r="C187" s="191"/>
      <c r="D187" s="125"/>
      <c r="E187" s="125"/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</row>
    <row r="188" spans="1:24" x14ac:dyDescent="0.2">
      <c r="A188" s="125"/>
      <c r="B188" s="125"/>
      <c r="C188" s="191"/>
      <c r="D188" s="125"/>
      <c r="E188" s="125"/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</row>
    <row r="189" spans="1:24" x14ac:dyDescent="0.2">
      <c r="A189" s="125"/>
      <c r="B189" s="125"/>
      <c r="C189" s="191"/>
      <c r="D189" s="125"/>
      <c r="E189" s="125"/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</row>
    <row r="190" spans="1:24" x14ac:dyDescent="0.2">
      <c r="A190" s="125"/>
      <c r="B190" s="125"/>
      <c r="C190" s="191"/>
      <c r="D190" s="125"/>
      <c r="E190" s="125"/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</row>
    <row r="191" spans="1:24" x14ac:dyDescent="0.2">
      <c r="A191" s="125"/>
      <c r="B191" s="125"/>
      <c r="C191" s="191"/>
      <c r="D191" s="125"/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</row>
    <row r="192" spans="1:24" x14ac:dyDescent="0.2">
      <c r="A192" s="125"/>
      <c r="B192" s="125"/>
      <c r="C192" s="191"/>
      <c r="D192" s="125"/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</row>
    <row r="193" spans="1:18" x14ac:dyDescent="0.2">
      <c r="A193" s="125"/>
      <c r="B193" s="125"/>
      <c r="C193" s="191"/>
      <c r="D193" s="125"/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</row>
    <row r="194" spans="1:18" x14ac:dyDescent="0.2">
      <c r="A194" s="125"/>
      <c r="B194" s="125"/>
      <c r="C194" s="191"/>
      <c r="D194" s="125"/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</row>
    <row r="195" spans="1:18" x14ac:dyDescent="0.2">
      <c r="A195" s="125"/>
      <c r="B195" s="125"/>
      <c r="C195" s="191"/>
      <c r="D195" s="125"/>
      <c r="E195" s="125"/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</row>
    <row r="196" spans="1:18" x14ac:dyDescent="0.2">
      <c r="A196" s="125"/>
      <c r="B196" s="125"/>
      <c r="C196" s="191"/>
      <c r="D196" s="125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</row>
    <row r="197" spans="1:18" x14ac:dyDescent="0.2">
      <c r="A197" s="125"/>
      <c r="B197" s="125"/>
      <c r="C197" s="191"/>
      <c r="D197" s="125"/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</row>
    <row r="198" spans="1:18" x14ac:dyDescent="0.2">
      <c r="A198" s="125"/>
      <c r="B198" s="125"/>
      <c r="C198" s="191"/>
      <c r="D198" s="125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</row>
    <row r="199" spans="1:18" x14ac:dyDescent="0.2">
      <c r="A199" s="125"/>
      <c r="B199" s="125"/>
      <c r="C199" s="191"/>
      <c r="D199" s="125"/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</row>
    <row r="200" spans="1:18" x14ac:dyDescent="0.2">
      <c r="A200" s="125"/>
      <c r="B200" s="125"/>
      <c r="C200" s="191"/>
      <c r="D200" s="125"/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</row>
    <row r="201" spans="1:18" x14ac:dyDescent="0.2">
      <c r="A201" s="125"/>
      <c r="B201" s="125"/>
      <c r="C201" s="191"/>
      <c r="D201" s="125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</row>
    <row r="202" spans="1:18" x14ac:dyDescent="0.2">
      <c r="A202" s="125"/>
      <c r="B202" s="125"/>
      <c r="C202" s="191"/>
      <c r="D202" s="125"/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</row>
    <row r="203" spans="1:18" x14ac:dyDescent="0.2">
      <c r="A203" s="125"/>
      <c r="B203" s="125"/>
      <c r="C203" s="191"/>
      <c r="D203" s="125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</row>
    <row r="204" spans="1:18" x14ac:dyDescent="0.2">
      <c r="A204" s="125"/>
      <c r="B204" s="125"/>
      <c r="C204" s="191"/>
      <c r="D204" s="125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</row>
    <row r="205" spans="1:18" x14ac:dyDescent="0.2">
      <c r="A205" s="125"/>
      <c r="B205" s="125"/>
      <c r="C205" s="191"/>
      <c r="D205" s="125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</row>
    <row r="206" spans="1:18" x14ac:dyDescent="0.2">
      <c r="A206" s="125"/>
      <c r="B206" s="125"/>
      <c r="C206" s="191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</row>
    <row r="207" spans="1:18" x14ac:dyDescent="0.2">
      <c r="A207" s="125"/>
      <c r="B207" s="125"/>
      <c r="C207" s="191"/>
      <c r="D207" s="125"/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</row>
    <row r="208" spans="1:18" x14ac:dyDescent="0.2">
      <c r="A208" s="125"/>
      <c r="B208" s="125"/>
      <c r="C208" s="191"/>
      <c r="D208" s="125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</row>
    <row r="209" spans="1:18" x14ac:dyDescent="0.2">
      <c r="A209" s="125"/>
      <c r="B209" s="125"/>
      <c r="C209" s="191"/>
      <c r="D209" s="125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</row>
    <row r="210" spans="1:18" x14ac:dyDescent="0.2">
      <c r="A210" s="125"/>
      <c r="B210" s="125"/>
      <c r="C210" s="191"/>
      <c r="D210" s="125"/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</row>
    <row r="211" spans="1:18" x14ac:dyDescent="0.2">
      <c r="A211" s="125"/>
      <c r="B211" s="125"/>
      <c r="C211" s="191"/>
      <c r="D211" s="125"/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</row>
    <row r="212" spans="1:18" x14ac:dyDescent="0.2">
      <c r="A212" s="125"/>
      <c r="B212" s="125"/>
      <c r="C212" s="191"/>
      <c r="D212" s="125"/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</row>
    <row r="213" spans="1:18" x14ac:dyDescent="0.2">
      <c r="A213" s="125"/>
      <c r="B213" s="125"/>
      <c r="C213" s="191"/>
      <c r="D213" s="125"/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</row>
    <row r="214" spans="1:18" x14ac:dyDescent="0.2">
      <c r="A214" s="125"/>
      <c r="B214" s="125"/>
      <c r="C214" s="191"/>
      <c r="D214" s="125"/>
      <c r="E214" s="125"/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</row>
    <row r="215" spans="1:18" x14ac:dyDescent="0.2">
      <c r="A215" s="125"/>
      <c r="B215" s="125"/>
      <c r="C215" s="191"/>
      <c r="D215" s="125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</row>
    <row r="216" spans="1:18" x14ac:dyDescent="0.2">
      <c r="A216" s="125"/>
      <c r="B216" s="125"/>
      <c r="C216" s="191"/>
      <c r="D216" s="125"/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</row>
    <row r="217" spans="1:18" x14ac:dyDescent="0.2">
      <c r="A217" s="125"/>
      <c r="B217" s="125"/>
      <c r="C217" s="191"/>
      <c r="D217" s="125"/>
      <c r="E217" s="125"/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</row>
    <row r="218" spans="1:18" x14ac:dyDescent="0.2">
      <c r="A218" s="125"/>
      <c r="B218" s="125"/>
      <c r="C218" s="191"/>
      <c r="D218" s="125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</row>
    <row r="219" spans="1:18" x14ac:dyDescent="0.2">
      <c r="A219" s="125"/>
      <c r="B219" s="125"/>
      <c r="C219" s="191"/>
      <c r="D219" s="125"/>
      <c r="E219" s="125"/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</row>
    <row r="220" spans="1:18" x14ac:dyDescent="0.2">
      <c r="A220" s="125"/>
      <c r="B220" s="125"/>
      <c r="C220" s="191"/>
      <c r="D220" s="125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</row>
    <row r="221" spans="1:18" x14ac:dyDescent="0.2">
      <c r="A221" s="125"/>
      <c r="B221" s="125"/>
      <c r="C221" s="191"/>
      <c r="D221" s="125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</row>
    <row r="222" spans="1:18" x14ac:dyDescent="0.2">
      <c r="A222" s="125"/>
      <c r="B222" s="125"/>
      <c r="C222" s="191"/>
      <c r="D222" s="125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</row>
    <row r="223" spans="1:18" x14ac:dyDescent="0.2">
      <c r="A223" s="125"/>
      <c r="B223" s="125"/>
      <c r="C223" s="191"/>
      <c r="D223" s="125"/>
      <c r="E223" s="125"/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</row>
    <row r="224" spans="1:18" x14ac:dyDescent="0.2">
      <c r="A224" s="125"/>
      <c r="B224" s="125"/>
      <c r="C224" s="191"/>
      <c r="D224" s="125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</row>
    <row r="225" spans="1:18" x14ac:dyDescent="0.2">
      <c r="A225" s="125"/>
      <c r="B225" s="125"/>
      <c r="C225" s="191"/>
      <c r="D225" s="125"/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</row>
    <row r="226" spans="1:18" x14ac:dyDescent="0.2">
      <c r="A226" s="125"/>
      <c r="B226" s="125"/>
      <c r="C226" s="191"/>
      <c r="D226" s="125"/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</row>
    <row r="227" spans="1:18" x14ac:dyDescent="0.2">
      <c r="A227" s="125"/>
      <c r="B227" s="125"/>
      <c r="C227" s="191"/>
      <c r="D227" s="125"/>
      <c r="E227" s="125"/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</row>
    <row r="228" spans="1:18" x14ac:dyDescent="0.2">
      <c r="A228" s="125"/>
      <c r="B228" s="125"/>
      <c r="C228" s="191"/>
      <c r="D228" s="125"/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</row>
    <row r="229" spans="1:18" x14ac:dyDescent="0.2">
      <c r="A229" s="125"/>
      <c r="B229" s="125"/>
      <c r="C229" s="191"/>
      <c r="D229" s="125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</row>
    <row r="230" spans="1:18" x14ac:dyDescent="0.2">
      <c r="A230" s="125"/>
      <c r="B230" s="125"/>
      <c r="C230" s="191"/>
      <c r="D230" s="125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</row>
    <row r="231" spans="1:18" x14ac:dyDescent="0.2">
      <c r="A231" s="125"/>
      <c r="B231" s="125"/>
      <c r="C231" s="191"/>
      <c r="D231" s="125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</row>
    <row r="232" spans="1:18" x14ac:dyDescent="0.2">
      <c r="A232" s="125"/>
      <c r="B232" s="125"/>
      <c r="C232" s="191"/>
      <c r="D232" s="125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</row>
    <row r="233" spans="1:18" x14ac:dyDescent="0.2">
      <c r="A233" s="125"/>
      <c r="B233" s="125"/>
      <c r="C233" s="191"/>
      <c r="D233" s="125"/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</row>
    <row r="234" spans="1:18" x14ac:dyDescent="0.2">
      <c r="A234" s="125"/>
      <c r="B234" s="125"/>
      <c r="C234" s="191"/>
      <c r="D234" s="125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</row>
    <row r="235" spans="1:18" x14ac:dyDescent="0.2">
      <c r="A235" s="125"/>
      <c r="B235" s="125"/>
      <c r="C235" s="191"/>
      <c r="D235" s="125"/>
      <c r="E235" s="125"/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</row>
    <row r="236" spans="1:18" x14ac:dyDescent="0.2">
      <c r="A236" s="125"/>
      <c r="B236" s="125"/>
      <c r="C236" s="191"/>
      <c r="D236" s="125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</row>
    <row r="237" spans="1:18" x14ac:dyDescent="0.2">
      <c r="A237" s="125"/>
      <c r="B237" s="125"/>
      <c r="C237" s="191"/>
      <c r="D237" s="125"/>
      <c r="E237" s="125"/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</row>
    <row r="238" spans="1:18" x14ac:dyDescent="0.2">
      <c r="A238" s="125"/>
      <c r="B238" s="125"/>
      <c r="C238" s="191"/>
      <c r="D238" s="125"/>
      <c r="E238" s="125"/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</row>
    <row r="239" spans="1:18" x14ac:dyDescent="0.2">
      <c r="A239" s="125"/>
      <c r="B239" s="125"/>
      <c r="C239" s="191"/>
      <c r="D239" s="125"/>
      <c r="E239" s="125"/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</row>
    <row r="240" spans="1:18" x14ac:dyDescent="0.2">
      <c r="A240" s="125"/>
      <c r="B240" s="125"/>
      <c r="C240" s="191"/>
      <c r="D240" s="125"/>
      <c r="E240" s="125"/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</row>
    <row r="241" spans="1:18" x14ac:dyDescent="0.2">
      <c r="A241" s="125"/>
      <c r="B241" s="125"/>
      <c r="C241" s="191"/>
      <c r="D241" s="125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</row>
    <row r="242" spans="1:18" x14ac:dyDescent="0.2">
      <c r="A242" s="125"/>
      <c r="B242" s="125"/>
      <c r="C242" s="191"/>
      <c r="D242" s="125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</row>
    <row r="243" spans="1:18" x14ac:dyDescent="0.2">
      <c r="A243" s="125"/>
      <c r="B243" s="125"/>
      <c r="C243" s="191"/>
      <c r="D243" s="125"/>
      <c r="E243" s="125"/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</row>
    <row r="244" spans="1:18" x14ac:dyDescent="0.2">
      <c r="A244" s="125"/>
      <c r="B244" s="125"/>
      <c r="C244" s="191"/>
      <c r="D244" s="125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</row>
    <row r="245" spans="1:18" x14ac:dyDescent="0.2">
      <c r="A245" s="125"/>
      <c r="B245" s="125"/>
      <c r="C245" s="191"/>
      <c r="D245" s="125"/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</row>
    <row r="246" spans="1:18" x14ac:dyDescent="0.2">
      <c r="A246" s="125"/>
      <c r="B246" s="125"/>
      <c r="C246" s="191"/>
      <c r="D246" s="125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</row>
    <row r="247" spans="1:18" x14ac:dyDescent="0.2">
      <c r="A247" s="125"/>
      <c r="B247" s="125"/>
      <c r="C247" s="191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</row>
    <row r="248" spans="1:18" x14ac:dyDescent="0.2">
      <c r="A248" s="125"/>
      <c r="B248" s="125"/>
      <c r="C248" s="191"/>
      <c r="D248" s="125"/>
      <c r="E248" s="125"/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</row>
    <row r="249" spans="1:18" x14ac:dyDescent="0.2">
      <c r="A249" s="125"/>
      <c r="B249" s="125"/>
      <c r="C249" s="191"/>
      <c r="D249" s="125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</row>
    <row r="250" spans="1:18" x14ac:dyDescent="0.2">
      <c r="A250" s="125"/>
      <c r="B250" s="125"/>
      <c r="C250" s="191"/>
      <c r="D250" s="125"/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</row>
    <row r="251" spans="1:18" x14ac:dyDescent="0.2">
      <c r="A251" s="125"/>
      <c r="B251" s="125"/>
      <c r="C251" s="191"/>
      <c r="D251" s="125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</row>
    <row r="252" spans="1:18" x14ac:dyDescent="0.2">
      <c r="A252" s="125"/>
      <c r="B252" s="125"/>
      <c r="C252" s="191"/>
      <c r="D252" s="125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</row>
    <row r="253" spans="1:18" x14ac:dyDescent="0.2">
      <c r="A253" s="125"/>
      <c r="B253" s="125"/>
      <c r="C253" s="191"/>
      <c r="D253" s="125"/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</row>
    <row r="254" spans="1:18" x14ac:dyDescent="0.2">
      <c r="A254" s="125"/>
      <c r="B254" s="125"/>
      <c r="C254" s="191"/>
      <c r="D254" s="125"/>
      <c r="E254" s="125"/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</row>
    <row r="255" spans="1:18" x14ac:dyDescent="0.2">
      <c r="A255" s="125"/>
      <c r="B255" s="125"/>
      <c r="C255" s="191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</row>
    <row r="256" spans="1:18" x14ac:dyDescent="0.2">
      <c r="A256" s="125"/>
      <c r="B256" s="125"/>
      <c r="C256" s="191"/>
      <c r="D256" s="125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</row>
  </sheetData>
  <hyperlinks>
    <hyperlink ref="F13" r:id="rId1" display="lejahmal@gmail.com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C45"/>
  <sheetViews>
    <sheetView workbookViewId="0">
      <selection activeCell="E30" sqref="E30"/>
    </sheetView>
  </sheetViews>
  <sheetFormatPr baseColWidth="10" defaultRowHeight="15" x14ac:dyDescent="0.25"/>
  <cols>
    <col min="1" max="1" width="11.42578125" style="185"/>
    <col min="2" max="3" width="11.42578125" style="185" customWidth="1"/>
    <col min="4" max="16384" width="11.42578125" style="185"/>
  </cols>
  <sheetData>
    <row r="5" spans="3:3" ht="17.25" x14ac:dyDescent="0.3">
      <c r="C5" s="186"/>
    </row>
    <row r="7" spans="3:3" ht="17.25" x14ac:dyDescent="0.3">
      <c r="C7" s="187"/>
    </row>
    <row r="9" spans="3:3" x14ac:dyDescent="0.25">
      <c r="C9" s="188"/>
    </row>
    <row r="10" spans="3:3" x14ac:dyDescent="0.25">
      <c r="C10" s="189"/>
    </row>
    <row r="11" spans="3:3" x14ac:dyDescent="0.25">
      <c r="C11" s="190"/>
    </row>
    <row r="12" spans="3:3" x14ac:dyDescent="0.25">
      <c r="C12" s="188"/>
    </row>
    <row r="13" spans="3:3" x14ac:dyDescent="0.25">
      <c r="C13" s="190"/>
    </row>
    <row r="14" spans="3:3" x14ac:dyDescent="0.25">
      <c r="C14" s="190"/>
    </row>
    <row r="15" spans="3:3" ht="17.25" x14ac:dyDescent="0.3">
      <c r="C15" s="187"/>
    </row>
    <row r="17" spans="3:3" x14ac:dyDescent="0.25">
      <c r="C17" s="190"/>
    </row>
    <row r="18" spans="3:3" x14ac:dyDescent="0.25">
      <c r="C18" s="188"/>
    </row>
    <row r="19" spans="3:3" x14ac:dyDescent="0.25">
      <c r="C19" s="188"/>
    </row>
    <row r="20" spans="3:3" x14ac:dyDescent="0.25">
      <c r="C20" s="188"/>
    </row>
    <row r="21" spans="3:3" x14ac:dyDescent="0.25">
      <c r="C21" s="190"/>
    </row>
    <row r="22" spans="3:3" x14ac:dyDescent="0.25">
      <c r="C22" s="190"/>
    </row>
    <row r="23" spans="3:3" x14ac:dyDescent="0.25">
      <c r="C23" s="188"/>
    </row>
    <row r="24" spans="3:3" x14ac:dyDescent="0.25">
      <c r="C24" s="188"/>
    </row>
    <row r="25" spans="3:3" x14ac:dyDescent="0.25">
      <c r="C25" s="190"/>
    </row>
    <row r="26" spans="3:3" x14ac:dyDescent="0.25">
      <c r="C26" s="190"/>
    </row>
    <row r="27" spans="3:3" x14ac:dyDescent="0.25">
      <c r="C27" s="188"/>
    </row>
    <row r="28" spans="3:3" x14ac:dyDescent="0.25">
      <c r="C28" s="188"/>
    </row>
    <row r="29" spans="3:3" x14ac:dyDescent="0.25">
      <c r="C29" s="190"/>
    </row>
    <row r="30" spans="3:3" x14ac:dyDescent="0.25">
      <c r="C30" s="190"/>
    </row>
    <row r="31" spans="3:3" x14ac:dyDescent="0.25">
      <c r="C31" s="190"/>
    </row>
    <row r="32" spans="3:3" x14ac:dyDescent="0.25">
      <c r="C32" s="190"/>
    </row>
    <row r="33" spans="3:3" x14ac:dyDescent="0.25">
      <c r="C33" s="190"/>
    </row>
    <row r="34" spans="3:3" x14ac:dyDescent="0.25">
      <c r="C34" s="190"/>
    </row>
    <row r="35" spans="3:3" ht="17.25" x14ac:dyDescent="0.3">
      <c r="C35" s="187"/>
    </row>
    <row r="37" spans="3:3" x14ac:dyDescent="0.25">
      <c r="C37" s="188"/>
    </row>
    <row r="38" spans="3:3" x14ac:dyDescent="0.25">
      <c r="C38" s="190"/>
    </row>
    <row r="39" spans="3:3" x14ac:dyDescent="0.25">
      <c r="C39" s="190"/>
    </row>
    <row r="40" spans="3:3" x14ac:dyDescent="0.25">
      <c r="C40" s="188"/>
    </row>
    <row r="41" spans="3:3" x14ac:dyDescent="0.25">
      <c r="C41" s="190"/>
    </row>
    <row r="42" spans="3:3" x14ac:dyDescent="0.25">
      <c r="C42" s="190"/>
    </row>
    <row r="43" spans="3:3" x14ac:dyDescent="0.25">
      <c r="C43" s="188"/>
    </row>
    <row r="44" spans="3:3" x14ac:dyDescent="0.25">
      <c r="C44" s="190"/>
    </row>
    <row r="45" spans="3:3" ht="17.25" x14ac:dyDescent="0.3">
      <c r="C45" s="18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STANDARD STUDY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2026-05-30T04:20:59Z</dcterms:modified>
</cp:coreProperties>
</file>