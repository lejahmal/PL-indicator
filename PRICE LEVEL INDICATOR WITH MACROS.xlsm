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" l="1"/>
  <c r="C26" i="1"/>
  <c r="F25" i="1"/>
  <c r="F26" i="1"/>
  <c r="K25" i="1"/>
  <c r="K26" i="1"/>
  <c r="J25" i="1"/>
  <c r="J26" i="1"/>
  <c r="L2" i="1" l="1"/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H7" i="1" s="1"/>
  <c r="H9" i="1" s="1"/>
  <c r="G17" i="1"/>
  <c r="I16" i="1" s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D2" i="1"/>
  <c r="Q6" i="1"/>
  <c r="I19" i="1"/>
  <c r="S22" i="1" s="1"/>
  <c r="M22" i="1" s="1"/>
  <c r="I18" i="1"/>
  <c r="S23" i="1" s="1"/>
  <c r="S11" i="1"/>
  <c r="S10" i="1"/>
  <c r="Q8" i="1" l="1"/>
  <c r="M23" i="1"/>
  <c r="O27" i="1"/>
  <c r="O4" i="1"/>
  <c r="Q20" i="1"/>
  <c r="M20" i="1" s="1"/>
  <c r="L11" i="1"/>
  <c r="C24" i="1"/>
  <c r="J24" i="1"/>
  <c r="F24" i="1"/>
  <c r="K24" i="1"/>
  <c r="Q9" i="1"/>
  <c r="L9" i="1" s="1"/>
  <c r="Q21" i="1"/>
  <c r="M21" i="1" s="1"/>
  <c r="L10" i="1"/>
  <c r="Q24" i="1"/>
  <c r="M24" i="1" s="1"/>
  <c r="E28" i="1" s="1"/>
  <c r="L7" i="1"/>
  <c r="S25" i="1"/>
  <c r="M25" i="1" s="1"/>
  <c r="L6" i="1"/>
  <c r="S8" i="1"/>
  <c r="L8" i="1" l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<sst xmlns="http://schemas.openxmlformats.org/spreadsheetml/2006/main" count="170" uniqueCount="167">
  <si>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</si>
  <si>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</si>
  <si>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</si>
  <si>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</si>
  <si>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</si>
  <si>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</si>
  <si>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</si>
  <si>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</si>
  <si>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</si>
  <si>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</si>
  <si>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</si>
  <si>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</si>
  <si>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</si>
  <si>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</si>
  <si>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</si>
  <si>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</si>
  <si>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</si>
  <si>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</si>
  <si>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</si>
  <si>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</si>
  <si>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</si>
  <si>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</si>
  <si>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</si>
  <si>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</si>
  <si>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</si>
  <si>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</si>
  <si>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</si>
  <si>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</si>
  <si>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</si>
  <si>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</si>
  <si>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</si>
  <si>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</si>
  <si>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</si>
  <si>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</si>
  <si>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</si>
  <si>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</si>
  <si>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</si>
  <si>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</si>
  <si>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</si>
  <si>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</si>
  <si>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</si>
  <si>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</si>
  <si>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</si>
  <si>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</si>
  <si>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</si>
  <si>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</si>
  <si>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</si>
  <si>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</si>
  <si>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</si>
  <si>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</si>
  <si>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</si>
  <si>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</si>
  <si>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</si>
  <si>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</si>
  <si>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</si>
  <si>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</si>
  <si>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</si>
  <si>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</si>
  <si>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</si>
  <si>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</si>
  <si>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</si>
  <si>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</si>
  <si>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</si>
  <si>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</si>
  <si>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</si>
  <si>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</si>
  <si>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</si>
  <si>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</si>
  <si>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</si>
  <si>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</si>
  <si>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</si>
  <si>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</si>
  <si>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</si>
  <si>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</si>
  <si>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</si>
  <si>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</si>
  <si>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</si>
  <si>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</si>
  <si>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</si>
  <si>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</si>
  <si>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</si>
  <si>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</si>
  <si>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</si>
  <si>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</si>
  <si>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</si>
  <si>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</si>
  <si>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</si>
  <si>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</si>
  <si>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</si>
  <si>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</si>
  <si>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</si>
  <si>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</si>
  <si>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</si>
  <si>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</si>
  <si>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</si>
  <si>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</si>
  <si>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</si>
  <si>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</si>
  <si>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</si>
  <si>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</si>
  <si>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</si>
  <si>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</si>
  <si>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</si>
  <si>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</si>
  <si>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</si>
  <si>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</si>
  <si>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</si>
  <si>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</si>
  <si>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</si>
  <si>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</si>
  <si>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</si>
  <si>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</si>
  <si>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</si>
  <si>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</si>
  <si>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</si>
  <si>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</si>
  <si>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</si>
  <si>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</si>
  <si>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</si>
  <si>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</si>
  <si>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</si>
  <si>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</si>
  <si>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</si>
  <si>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</si>
  <si>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</si>
  <si>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</si>
  <si>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</si>
  <si>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</si>
  <si>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</si>
  <si>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</si>
  <si>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</si>
  <si>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</si>
  <si>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</si>
  <si>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</si>
  <si>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</si>
  <si>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</si>
  <si>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</si>
  <si>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</si>
  <si>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</si>
  <si>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</si>
  <si>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</si>
  <si>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</si>
  <si>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</si>
  <si>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</si>
  <si>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</si>
  <si>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</si>
  <si>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</si>
  <si>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</si>
  <si>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</si>
  <si>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</si>
  <si>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</si>
  <si>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</si>
  <si>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</si>
  <si>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</si>
  <si>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</si>
  <si>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</si>
  <si>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</si>
  <si>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P</t>
  </si>
  <si>
    <t>CACAO</t>
  </si>
  <si>
    <t xml:space="preserve"> 3196,4</t>
  </si>
  <si>
    <t>2174,9</t>
  </si>
  <si>
    <t>4708,7</t>
  </si>
  <si>
    <t>1850,5</t>
  </si>
  <si>
    <t>BID</t>
  </si>
  <si>
    <t>2539,8</t>
  </si>
  <si>
    <t>6413,5</t>
  </si>
  <si>
    <t>1161,3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</si>
</sst>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32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1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0" fillId="0" borderId="0" xfId="1" applyFill="1" applyBorder="1" applyAlignment="1">
      <alignment vertical="center"/>
    </xf>
    <xf numFmtId="0" fontId="33" fillId="0" borderId="47" xfId="0" applyFont="1" applyFill="1" applyBorder="1"/>
    <xf numFmtId="0" fontId="34" fillId="0" borderId="0" xfId="0" applyFont="1" applyBorder="1"/>
    <xf numFmtId="0" fontId="34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47" xfId="0" applyFont="1" applyFill="1" applyBorder="1"/>
    <xf numFmtId="0" fontId="35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178</xdr:row>
      <xdr:rowOff>111175</xdr:rowOff>
    </xdr:from>
    <xdr:to>
      <xdr:col>13</xdr:col>
      <xdr:colOff>809625</xdr:colOff>
      <xdr:row>218</xdr:row>
      <xdr:rowOff>135594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9572000"/>
          <a:ext cx="9153525" cy="61489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I2" sqref="I2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157</v>
      </c>
      <c r="D2" s="103" t="str">
        <f>IF(ABS(H9)&lt;=0.1,"STATIC","NOT STATIC")</f>
        <v>STATIC</v>
      </c>
      <c r="E2" s="171" t="s">
        <v>152</v>
      </c>
      <c r="F2" s="104" t="s">
        <v>158</v>
      </c>
      <c r="G2" s="105" t="s">
        <v>153</v>
      </c>
      <c r="H2" s="105">
        <v>1</v>
      </c>
      <c r="I2" s="105" t="s">
        <v>163</v>
      </c>
      <c r="J2" s="106"/>
      <c r="K2" s="106"/>
      <c r="L2" s="226" t="str">
        <f ca="1" xml:space="preserve"> "ORDERBOOK : " &amp; TEXT(TODAY(),"aaaa-mm-jj")</f>
        <v>ORDERBOOK : 2026-05-27</v>
      </c>
      <c r="M2" s="227"/>
      <c r="N2" s="110"/>
      <c r="O2" s="26"/>
      <c r="P2" s="26"/>
      <c r="Q2" s="223" t="s">
        <v>29</v>
      </c>
      <c r="R2" s="224"/>
      <c r="S2" s="225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25</v>
      </c>
      <c r="D4" s="2" t="s">
        <v>0</v>
      </c>
      <c r="E4" s="20"/>
      <c r="F4" s="3" t="s">
        <v>31</v>
      </c>
      <c r="G4" s="228" t="s">
        <v>26</v>
      </c>
      <c r="H4" s="229"/>
      <c r="I4" s="4"/>
      <c r="J4" s="5"/>
      <c r="K4" s="20"/>
      <c r="L4" s="76">
        <f>IF(C2="P",Q4,S4)</f>
        <v>12675.1</v>
      </c>
      <c r="M4" s="108"/>
      <c r="N4" s="25"/>
      <c r="O4" s="206" t="str">
        <f>IF(C2="P",IF(D2="STATIC",IF(D5&gt;D6,"▼",""),IF(D5&gt;D6,"","▼")),IF(D2="STATIC",IF(D6&gt;D5,"▼",""),IF(D6&gt;D5,"","▼")))</f>
        <v>▼</v>
      </c>
      <c r="Q4" s="120">
        <f>D5</f>
        <v>12675.1</v>
      </c>
      <c r="R4" s="69"/>
      <c r="S4" s="121">
        <f>D6</f>
        <v>-590.9</v>
      </c>
    </row>
    <row r="5" spans="1:19" ht="21.75" thickBot="1" x14ac:dyDescent="0.4">
      <c r="B5" s="230" t="s">
        <v>1</v>
      </c>
      <c r="C5" s="42" t="s">
        <v>156</v>
      </c>
      <c r="D5" s="6">
        <v>12675.1</v>
      </c>
      <c r="E5" s="7"/>
      <c r="F5" s="8" t="s">
        <v>149</v>
      </c>
      <c r="G5" s="9" t="str">
        <f>TEXT(H19&amp;" | "&amp;F18,0)</f>
        <v>-9,8 | 147,8</v>
      </c>
      <c r="H5" s="10">
        <f>ABS(H19-F18)</f>
        <v>157.60000000000002</v>
      </c>
      <c r="I5" s="11"/>
      <c r="J5" s="12"/>
      <c r="K5" s="20"/>
      <c r="L5" s="74">
        <f>IF(C2="P",Q5,TEXT( S5 &amp;" | " &amp;G19,"0,00"))</f>
        <v>11918.6</v>
      </c>
      <c r="M5" s="108"/>
      <c r="N5" s="25"/>
      <c r="O5" s="209"/>
      <c r="Q5" s="120">
        <f>H14</f>
        <v>11918.6</v>
      </c>
      <c r="R5" s="69"/>
      <c r="S5" s="122">
        <f>F18</f>
        <v>147.80000000000001</v>
      </c>
    </row>
    <row r="6" spans="1:19" ht="21" x14ac:dyDescent="0.35">
      <c r="B6" s="230"/>
      <c r="C6" s="43" t="s">
        <v>120</v>
      </c>
      <c r="D6" s="6">
        <v>-590.9</v>
      </c>
      <c r="E6" s="7"/>
      <c r="F6" s="13"/>
      <c r="G6" s="3" t="str">
        <f>TEXT(" AOPV  | " &amp;ROUNDDOWN((((G15/F15)*100)-100),H2)&amp;" % ","0,00")</f>
        <v xml:space="preserve"> AOPV  | -3,5 % </v>
      </c>
      <c r="H6" s="38">
        <f>ABS(ROUNDDOWN(IF(C2="P",(F15-G15),(G15-F15)),H2))</f>
        <v>283.8</v>
      </c>
      <c r="I6" s="14"/>
      <c r="J6" s="15"/>
      <c r="K6" s="20"/>
      <c r="L6" s="76">
        <f>IF(C2="P",Q6,S6)</f>
        <v>10963.5</v>
      </c>
      <c r="M6" s="108"/>
      <c r="N6" s="25"/>
      <c r="O6" s="210"/>
      <c r="Q6" s="120">
        <f>G14</f>
        <v>10963.5</v>
      </c>
      <c r="R6" s="69"/>
      <c r="S6" s="123" t="str">
        <f>I14</f>
        <v>BRK|1161,3</v>
      </c>
    </row>
    <row r="7" spans="1:19" x14ac:dyDescent="0.25">
      <c r="B7" s="230"/>
      <c r="C7" s="183" t="s">
        <v>2</v>
      </c>
      <c r="D7" s="184">
        <f>D5-D6</f>
        <v>13266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1711.6000000000004</v>
      </c>
      <c r="I7" s="14"/>
      <c r="J7" s="19"/>
      <c r="K7" s="20"/>
      <c r="L7" s="75">
        <f>IF(C2="P",Q7,S7)</f>
        <v>10283.1</v>
      </c>
      <c r="M7" s="108"/>
      <c r="N7" s="25"/>
      <c r="O7" s="211"/>
      <c r="Q7" s="124">
        <f>D15</f>
        <v>10283.1</v>
      </c>
      <c r="R7" s="69"/>
      <c r="S7" s="125" t="str">
        <f>I15</f>
        <v>236+|1850,5</v>
      </c>
    </row>
    <row r="8" spans="1:19" x14ac:dyDescent="0.25">
      <c r="A8" s="20"/>
      <c r="B8" s="230"/>
      <c r="C8" s="185" t="s">
        <v>4</v>
      </c>
      <c r="D8" s="185">
        <f>E16</f>
        <v>2539.8000000000002</v>
      </c>
      <c r="E8" s="20"/>
      <c r="F8" s="20"/>
      <c r="G8" s="3" t="s">
        <v>5</v>
      </c>
      <c r="H8" s="21">
        <f>D5-H10</f>
        <v>1711.6000000000004</v>
      </c>
      <c r="I8" s="22"/>
      <c r="J8" s="19"/>
      <c r="K8" s="20"/>
      <c r="L8" s="77" t="str">
        <f>IF(C2="P",Q8,S8)</f>
        <v>COR|9883,4</v>
      </c>
      <c r="M8" s="108"/>
      <c r="N8" s="25"/>
      <c r="O8" s="210"/>
      <c r="Q8" s="126" t="str">
        <f>S23</f>
        <v>COR|9883,4</v>
      </c>
      <c r="R8" s="69"/>
      <c r="S8" s="122">
        <f>Q23</f>
        <v>2174.9</v>
      </c>
    </row>
    <row r="9" spans="1:19" ht="17.25" customHeight="1" x14ac:dyDescent="0.25">
      <c r="A9" s="20"/>
      <c r="B9" s="230"/>
      <c r="C9" s="183" t="s">
        <v>6</v>
      </c>
      <c r="D9" s="186">
        <f>D5-D8</f>
        <v>10135.299999999999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74" t="str">
        <f>IF(C2="P",Q9,S9)</f>
        <v>BASE+|9518,55</v>
      </c>
      <c r="M9" s="108"/>
      <c r="N9" s="25"/>
      <c r="O9" s="214"/>
      <c r="Q9" s="127" t="str">
        <f>S22</f>
        <v>BASE+|9518,55</v>
      </c>
      <c r="R9" s="69"/>
      <c r="S9" s="121" t="str">
        <f>I20</f>
        <v>BASE|2539,8</v>
      </c>
    </row>
    <row r="10" spans="1:19" ht="18.75" x14ac:dyDescent="0.3">
      <c r="A10" s="20"/>
      <c r="B10" s="230"/>
      <c r="C10" s="187" t="s">
        <v>8</v>
      </c>
      <c r="D10" s="188">
        <f>ROUNDDOWN((G15-F19)/(1-0.236),H2)</f>
        <v>14221</v>
      </c>
      <c r="E10" s="20" t="s">
        <v>30</v>
      </c>
      <c r="F10" s="20"/>
      <c r="G10" s="3" t="s">
        <v>27</v>
      </c>
      <c r="H10" s="37">
        <v>10963.5</v>
      </c>
      <c r="I10" s="20"/>
      <c r="J10" s="20"/>
      <c r="K10" s="20"/>
      <c r="L10" s="74">
        <f>IF(C2="P",Q10,S10)</f>
        <v>8803.4</v>
      </c>
      <c r="M10" s="108"/>
      <c r="N10" s="25"/>
      <c r="O10" s="214"/>
      <c r="Q10" s="128">
        <f>D16</f>
        <v>8803.4</v>
      </c>
      <c r="R10" s="69"/>
      <c r="S10" s="129" t="str">
        <f>I16</f>
        <v>382+| 3196,4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8337</v>
      </c>
      <c r="M11" s="108"/>
      <c r="N11" s="25"/>
      <c r="O11" s="214"/>
      <c r="Q11" s="124">
        <f>H15</f>
        <v>8337</v>
      </c>
      <c r="R11" s="69"/>
      <c r="S11" s="121">
        <f>G17</f>
        <v>3853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7891.2</v>
      </c>
      <c r="M12" s="78">
        <f>IF(C2="P",Q13,D19)</f>
        <v>7607.4</v>
      </c>
      <c r="N12" s="189"/>
      <c r="O12" s="210"/>
      <c r="Q12" s="124">
        <f>F15</f>
        <v>7891.2</v>
      </c>
      <c r="R12" s="69"/>
      <c r="S12" s="121">
        <f>H17</f>
        <v>4330.5</v>
      </c>
    </row>
    <row r="13" spans="1:19" ht="15.75" x14ac:dyDescent="0.25">
      <c r="A13" s="20"/>
      <c r="B13" s="107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13" t="str">
        <f>IF(C2="P",S17,Q17)</f>
        <v>GAP|7009,4</v>
      </c>
      <c r="N13" s="15"/>
      <c r="O13" s="210"/>
      <c r="Q13" s="130">
        <f>G15</f>
        <v>7607.4</v>
      </c>
      <c r="R13" s="68">
        <f>D17</f>
        <v>7607.4</v>
      </c>
      <c r="S13" s="131">
        <f>D19</f>
        <v>4708.7</v>
      </c>
    </row>
    <row r="14" spans="1:19" ht="19.5" thickBot="1" x14ac:dyDescent="0.35">
      <c r="A14" s="20"/>
      <c r="B14" s="231" t="s">
        <v>117</v>
      </c>
      <c r="C14" s="28">
        <v>0</v>
      </c>
      <c r="D14" s="52">
        <f>D5</f>
        <v>12675.1</v>
      </c>
      <c r="E14" s="52">
        <f>D5</f>
        <v>12675.1</v>
      </c>
      <c r="F14" s="89">
        <f>D5</f>
        <v>12675.1</v>
      </c>
      <c r="G14" s="208">
        <f>F19+D10</f>
        <v>10963.5</v>
      </c>
      <c r="H14" s="101">
        <f>ROUNDDOWN((((H18-F19)/(1-0.618))+F19),H2)</f>
        <v>11918.6</v>
      </c>
      <c r="I14" s="96" t="str">
        <f>TEXT("BRK|" &amp;ROUNDDOWN((F18+G18)/2,H2),"0,00")</f>
        <v>BRK|1161,3</v>
      </c>
      <c r="J14" s="31"/>
      <c r="K14" s="20"/>
      <c r="L14" s="20"/>
      <c r="M14" s="114">
        <f>IF(C2="P",Q14,S14)</f>
        <v>6413.5</v>
      </c>
      <c r="N14" s="15"/>
      <c r="O14" s="211"/>
      <c r="Q14" s="132">
        <f>E15</f>
        <v>6413.5</v>
      </c>
      <c r="R14" s="72">
        <f>D18</f>
        <v>6411.4</v>
      </c>
      <c r="S14" s="133">
        <f>G16</f>
        <v>5531</v>
      </c>
    </row>
    <row r="15" spans="1:19" ht="19.5" customHeight="1" thickBot="1" x14ac:dyDescent="0.4">
      <c r="A15" s="20"/>
      <c r="B15" s="231"/>
      <c r="C15" s="28">
        <v>0.23599999999999999</v>
      </c>
      <c r="D15" s="94">
        <f>ROUNDDOWN((D5-(C15/1)*D9),H2)</f>
        <v>10283.1</v>
      </c>
      <c r="E15" s="95">
        <f>ROUNDDOWN((D5-(C15/0.5)*D7),H2)</f>
        <v>6413.5</v>
      </c>
      <c r="F15" s="92">
        <f>ROUNDDOWN((D5-(C15/0.5)*D9),H2)</f>
        <v>7891.2</v>
      </c>
      <c r="G15" s="93">
        <f>D17</f>
        <v>7607.4</v>
      </c>
      <c r="H15" s="192">
        <f>ROUNDDOWN(H14-((C15/1)*(H14-F19)),H2)</f>
        <v>8337</v>
      </c>
      <c r="I15" s="53" t="str">
        <f>TEXT("236+|" &amp;ROUNDDOWN((D8+(F18+G18)/2)/2,H2),"0,00")</f>
        <v>236+|1850,5</v>
      </c>
      <c r="J15" s="32"/>
      <c r="K15" s="20"/>
      <c r="L15" s="20"/>
      <c r="M15" s="115">
        <f>Q15</f>
        <v>6121.3</v>
      </c>
      <c r="N15" s="190"/>
      <c r="O15" s="214"/>
      <c r="Q15" s="134">
        <f>H16</f>
        <v>6121.3</v>
      </c>
      <c r="R15" s="71">
        <f>H16</f>
        <v>6121.3</v>
      </c>
      <c r="S15" s="135">
        <f>H16</f>
        <v>6121.3</v>
      </c>
    </row>
    <row r="16" spans="1:19" x14ac:dyDescent="0.25">
      <c r="B16" s="231"/>
      <c r="C16" s="28">
        <v>0.38200000000000001</v>
      </c>
      <c r="D16" s="54">
        <f>ROUNDDOWN((D5-(C16/1)*D9),H2)</f>
        <v>8803.4</v>
      </c>
      <c r="E16" s="65">
        <f>ROUNDDOWN((D5-(C16/0.5)*D7),H2)</f>
        <v>2539.8000000000002</v>
      </c>
      <c r="F16" s="90">
        <f>ROUNDDOWN((D5-(C16/0.5)*D9),H2)</f>
        <v>4931.7</v>
      </c>
      <c r="G16" s="91">
        <f>ROUNDDOWN((F19+D10)-((C16/1)*D10),H2)</f>
        <v>5531</v>
      </c>
      <c r="H16" s="55">
        <f>ROUNDDOWN(H14-((C16/1)*(H14-F19)),H2)</f>
        <v>6121.3</v>
      </c>
      <c r="I16" s="45" t="str">
        <f>TEXT("382+| " &amp;ROUNDDOWN((G17+D8)/2,H2),"0,00")</f>
        <v>382+| 3196,4</v>
      </c>
      <c r="J16" s="32"/>
      <c r="K16" s="20"/>
      <c r="L16" s="20"/>
      <c r="M16" s="116">
        <f>IF(C2="P",Q16,S16)</f>
        <v>5531</v>
      </c>
      <c r="N16" s="15"/>
      <c r="O16" s="214"/>
      <c r="Q16" s="136">
        <f>S14</f>
        <v>5531</v>
      </c>
      <c r="R16" s="5"/>
      <c r="S16" s="137">
        <f>Q14</f>
        <v>6413.5</v>
      </c>
    </row>
    <row r="17" spans="1:19" ht="15.75" thickBot="1" x14ac:dyDescent="0.3">
      <c r="B17" s="231"/>
      <c r="C17" s="28">
        <v>0.5</v>
      </c>
      <c r="D17" s="56">
        <f>ROUNDDOWN((D5-(C17/1)*D9),H2)</f>
        <v>7607.4</v>
      </c>
      <c r="E17" s="46">
        <f>ROUNDDOWN((D5-(C17/0.5)*D7),H2)</f>
        <v>-590.9</v>
      </c>
      <c r="F17" s="65">
        <f>ROUNDDOWN((D5-(C17/0.5)*D9),H2)</f>
        <v>2539.8000000000002</v>
      </c>
      <c r="G17" s="191">
        <f>ROUNDDOWN((F19+D10)-((C17/1)*D10),H2)</f>
        <v>3853</v>
      </c>
      <c r="H17" s="57">
        <f>ROUNDDOWN(H14-((C17/1)*(H14-F19)),H2)</f>
        <v>4330.5</v>
      </c>
      <c r="I17" s="83" t="str">
        <f>TEXT("GAP|" &amp;ROUNDDOWN((D17+D18)/2,H2),"0,00")</f>
        <v>GAP|7009,4</v>
      </c>
      <c r="J17" s="33"/>
      <c r="K17" s="20"/>
      <c r="L17" s="20"/>
      <c r="M17" s="113">
        <f>IF(C2="P",Q17,S17)</f>
        <v>4931.7</v>
      </c>
      <c r="N17" s="15"/>
      <c r="O17" s="214"/>
      <c r="Q17" s="127">
        <f>F16</f>
        <v>4931.7</v>
      </c>
      <c r="R17" s="5"/>
      <c r="S17" s="138" t="str">
        <f>I17</f>
        <v>GAP|7009,4</v>
      </c>
    </row>
    <row r="18" spans="1:19" ht="18.75" x14ac:dyDescent="0.3">
      <c r="B18" s="231"/>
      <c r="C18" s="28">
        <v>0.61799999999999999</v>
      </c>
      <c r="D18" s="58">
        <f>ROUNDDOWN((D5-(C18/1)*D9),H2)</f>
        <v>6411.4</v>
      </c>
      <c r="E18" s="97">
        <f>ROUNDDOWN((D5-(C18/0.5)*D7),H2)</f>
        <v>-3721.6</v>
      </c>
      <c r="F18" s="44">
        <f>ROUNDDOWN((D5-(C18/0.5)*D9),H2)</f>
        <v>147.80000000000001</v>
      </c>
      <c r="G18" s="59">
        <f>ROUNDDOWN((F19+D10)-((C18/1)*D10),H2)</f>
        <v>2174.9</v>
      </c>
      <c r="H18" s="63">
        <f>D8</f>
        <v>2539.8000000000002</v>
      </c>
      <c r="I18" s="84" t="str">
        <f>TEXT("COR|" &amp;ROUNDDOWN((D16+G14)/2,H2),"0,00")</f>
        <v>COR|9883,4</v>
      </c>
      <c r="J18" s="34"/>
      <c r="K18" s="20"/>
      <c r="L18" s="20"/>
      <c r="M18" s="81">
        <f>IF(C2="P",Q18,S18)</f>
        <v>4708.7</v>
      </c>
      <c r="N18" s="189"/>
      <c r="O18" s="210"/>
      <c r="Q18" s="139">
        <f>D19</f>
        <v>4708.7</v>
      </c>
      <c r="R18" s="5"/>
      <c r="S18" s="121">
        <f>D17</f>
        <v>7607.4</v>
      </c>
    </row>
    <row r="19" spans="1:19" ht="19.5" thickBot="1" x14ac:dyDescent="0.35">
      <c r="B19" s="231"/>
      <c r="C19" s="28">
        <v>0.78600000000000003</v>
      </c>
      <c r="D19" s="60">
        <f>ROUNDDOWN((D5-(C19/1)*D9),H2)</f>
        <v>4708.7</v>
      </c>
      <c r="E19" s="64">
        <f>ROUNDDOWN((D5-(C19/0.5)*D7),H2)</f>
        <v>-8179</v>
      </c>
      <c r="F19" s="98">
        <f>ROUNDDOWN((D5-(C19/0.5)*D9),H2)</f>
        <v>-3257.5</v>
      </c>
      <c r="G19" s="61">
        <f>ROUNDDOWN((F19+D10)-((C19/1)*D10),H2)</f>
        <v>-214.2</v>
      </c>
      <c r="H19" s="62">
        <f>ROUNDDOWN(H14-((C19/1)*(H14-F19)),H2)</f>
        <v>-9.8000000000000007</v>
      </c>
      <c r="I19" s="66" t="str">
        <f>TEXT("BASE+|"&amp;IF(C2="P",((D16+G14)/2)+(G18-D8),((D16+G14)/2)-(D8-G18)),"0,00")</f>
        <v>BASE+|9518,55</v>
      </c>
      <c r="J19" s="35"/>
      <c r="K19" s="20"/>
      <c r="L19" s="20"/>
      <c r="M19" s="82">
        <f>IF(C2="P",Q19,S19)</f>
        <v>4330.5</v>
      </c>
      <c r="N19" s="189"/>
      <c r="O19" s="214"/>
      <c r="Q19" s="140">
        <f>S12</f>
        <v>4330.5</v>
      </c>
      <c r="R19" s="5"/>
      <c r="S19" s="125">
        <f>Q12</f>
        <v>7891.2</v>
      </c>
    </row>
    <row r="20" spans="1:19" x14ac:dyDescent="0.25">
      <c r="B20" s="231"/>
      <c r="C20" s="28">
        <v>1</v>
      </c>
      <c r="D20" s="65">
        <f>D8</f>
        <v>2539.8000000000002</v>
      </c>
      <c r="E20" s="64">
        <f>ROUNDDOWN((D5-(C20/0.5)*D7),H2)</f>
        <v>-13856.9</v>
      </c>
      <c r="F20" s="64">
        <f>ROUNDDOWN((D5-(C20/0.5)*D9),H2)</f>
        <v>-7595.5</v>
      </c>
      <c r="G20" s="99">
        <f>F19</f>
        <v>-3257.5</v>
      </c>
      <c r="H20" s="100">
        <f>ROUNDDOWN(H14-((C20/1)*(H14-F19)),H2)</f>
        <v>-3257.5</v>
      </c>
      <c r="I20" s="66" t="str">
        <f>TEXT("BASE|" &amp;D8,"0,00")</f>
        <v>BASE|2539,8</v>
      </c>
      <c r="J20" s="36"/>
      <c r="K20" s="20"/>
      <c r="L20" s="20"/>
      <c r="M20" s="117">
        <f>IF(C2="P",Q20,S20)</f>
        <v>3853</v>
      </c>
      <c r="N20" s="15"/>
      <c r="O20" s="214"/>
      <c r="Q20" s="140">
        <f>S11</f>
        <v>3853</v>
      </c>
      <c r="R20" s="5"/>
      <c r="S20" s="125">
        <f>Q11</f>
        <v>8337</v>
      </c>
    </row>
    <row r="21" spans="1:19" ht="21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 t="str">
        <f>IF(C2="P",Q21,S21)</f>
        <v>382+| 3196,4</v>
      </c>
      <c r="N21" s="15"/>
      <c r="O21" s="213" t="s">
        <v>154</v>
      </c>
      <c r="Q21" s="128" t="str">
        <f>S10</f>
        <v>382+| 3196,4</v>
      </c>
      <c r="R21" s="69"/>
      <c r="S21" s="129">
        <f>Q10</f>
        <v>8803.4</v>
      </c>
    </row>
    <row r="22" spans="1:19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BASE|2539,8</v>
      </c>
      <c r="N22" s="15"/>
      <c r="O22" s="214"/>
      <c r="Q22" s="128" t="str">
        <f>I20</f>
        <v>BASE|2539,8</v>
      </c>
      <c r="R22" s="70"/>
      <c r="S22" s="121" t="str">
        <f>I19</f>
        <v>BASE+|9518,55</v>
      </c>
    </row>
    <row r="23" spans="1:19" ht="16.5" customHeight="1" x14ac:dyDescent="0.25">
      <c r="A23" s="20"/>
      <c r="B23" s="107"/>
      <c r="C23" s="180" t="s">
        <v>18</v>
      </c>
      <c r="D23" s="181" t="s">
        <v>13</v>
      </c>
      <c r="E23" s="181" t="s">
        <v>14</v>
      </c>
      <c r="F23" s="181" t="s">
        <v>15</v>
      </c>
      <c r="G23" s="181" t="s">
        <v>16</v>
      </c>
      <c r="H23" s="181" t="s">
        <v>151</v>
      </c>
      <c r="I23" s="181" t="s">
        <v>150</v>
      </c>
      <c r="J23" s="182" t="s">
        <v>17</v>
      </c>
      <c r="K23" s="203" t="s">
        <v>19</v>
      </c>
      <c r="L23" s="20"/>
      <c r="M23" s="114">
        <f>IF(C2="P",Q23,S23)</f>
        <v>2174.9</v>
      </c>
      <c r="N23" s="15"/>
      <c r="O23" s="212"/>
      <c r="Q23" s="126">
        <f>G18</f>
        <v>2174.9</v>
      </c>
      <c r="R23" s="69"/>
      <c r="S23" s="122" t="str">
        <f>I18</f>
        <v>COR|9883,4</v>
      </c>
    </row>
    <row r="24" spans="1:19" ht="21.75" customHeight="1" x14ac:dyDescent="0.3">
      <c r="A24" s="20"/>
      <c r="B24" s="221" t="s">
        <v>24</v>
      </c>
      <c r="C24" s="144" t="str">
        <f>TEXT("["&amp;ROUNDDOWN((((H24/G24)*100)-100),2)&amp;" %] ","0,00")</f>
        <v xml:space="preserve">[20,54 %] </v>
      </c>
      <c r="D24" s="86">
        <v>1</v>
      </c>
      <c r="E24" s="86">
        <v>20</v>
      </c>
      <c r="F24" s="87">
        <f>G24*D24/E24</f>
        <v>159.82</v>
      </c>
      <c r="G24" s="202" t="s">
        <v>159</v>
      </c>
      <c r="H24" s="202">
        <v>3853</v>
      </c>
      <c r="I24" s="202" t="s">
        <v>164</v>
      </c>
      <c r="J24" s="88">
        <f>(G24-I24)*D24</f>
        <v>656.59999999999991</v>
      </c>
      <c r="K24" s="204">
        <f>(H24-G24)*D24</f>
        <v>656.59999999999991</v>
      </c>
      <c r="L24" s="20"/>
      <c r="M24" s="113" t="str">
        <f>IF(C2="P",Q24,S24)</f>
        <v>236+|1850,5</v>
      </c>
      <c r="N24" s="15"/>
      <c r="O24" s="212"/>
      <c r="Q24" s="124" t="str">
        <f>S7</f>
        <v>236+|1850,5</v>
      </c>
      <c r="R24" s="69"/>
      <c r="S24" s="125">
        <f>Q7</f>
        <v>10283.1</v>
      </c>
    </row>
    <row r="25" spans="1:19" ht="21" customHeight="1" x14ac:dyDescent="0.3">
      <c r="B25" s="221"/>
      <c r="C25" s="144" t="str">
        <f t="shared" ref="C25:C27" si="0">TEXT("["&amp;ROUNDDOWN((((H25/G25)*100)-100),2)&amp;" %] ","0,00")</f>
        <v xml:space="preserve">[77,15 %] </v>
      </c>
      <c r="D25" s="86">
        <v>1</v>
      </c>
      <c r="E25" s="86">
        <v>20</v>
      </c>
      <c r="F25" s="87">
        <f t="shared" ref="F25:F27" si="1">G25*D25/E25</f>
        <v>108.745</v>
      </c>
      <c r="G25" s="202" t="s">
        <v>160</v>
      </c>
      <c r="H25" s="202">
        <v>3853</v>
      </c>
      <c r="I25" s="202" t="s">
        <v>165</v>
      </c>
      <c r="J25" s="88">
        <f t="shared" ref="J25:J27" si="2">(G25-I25)*D25</f>
        <v>-4238.6000000000004</v>
      </c>
      <c r="K25" s="204">
        <f t="shared" ref="K25:K27" si="3">(H25-G25)*D25</f>
        <v>1678.1</v>
      </c>
      <c r="L25" s="20"/>
      <c r="M25" s="118" t="str">
        <f>IF(C2="P",Q25,S25)</f>
        <v>BRK|1161,3</v>
      </c>
      <c r="N25" s="15"/>
      <c r="O25" s="210"/>
      <c r="Q25" s="120" t="str">
        <f>S6</f>
        <v>BRK|1161,3</v>
      </c>
      <c r="R25" s="69"/>
      <c r="S25" s="123">
        <f>Q6</f>
        <v>10963.5</v>
      </c>
    </row>
    <row r="26" spans="1:19" ht="19.5" customHeight="1" x14ac:dyDescent="0.3">
      <c r="B26" s="221"/>
      <c r="C26" s="144" t="str">
        <f t="shared" si="0"/>
        <v xml:space="preserve">[154,45 %] </v>
      </c>
      <c r="D26" s="86">
        <v>1</v>
      </c>
      <c r="E26" s="86">
        <v>20</v>
      </c>
      <c r="F26" s="87">
        <f t="shared" si="1"/>
        <v>92.525000000000006</v>
      </c>
      <c r="G26" s="202" t="s">
        <v>162</v>
      </c>
      <c r="H26" s="202" t="s">
        <v>161</v>
      </c>
      <c r="I26" s="202" t="s">
        <v>166</v>
      </c>
      <c r="J26" s="88">
        <f t="shared" si="2"/>
        <v>689.2</v>
      </c>
      <c r="K26" s="204">
        <f t="shared" si="3"/>
        <v>2858.2</v>
      </c>
      <c r="L26" s="20"/>
      <c r="M26" s="114" t="str">
        <f>IF(C2="P",TEXT( Q26 &amp;" | " &amp;G19,"0,00"),S26)</f>
        <v>147,8 | -214,2</v>
      </c>
      <c r="N26" s="15"/>
      <c r="O26" s="212"/>
      <c r="Q26" s="126">
        <f>F18</f>
        <v>147.80000000000001</v>
      </c>
      <c r="R26" s="69"/>
      <c r="S26" s="123">
        <f>H14</f>
        <v>11918.6</v>
      </c>
    </row>
    <row r="27" spans="1:19" ht="19.5" thickBot="1" x14ac:dyDescent="0.35">
      <c r="B27" s="222"/>
      <c r="C27" s="144"/>
      <c r="D27" s="86"/>
      <c r="E27" s="86"/>
      <c r="F27" s="87"/>
      <c r="G27" s="202"/>
      <c r="H27" s="202"/>
      <c r="I27" s="202"/>
      <c r="J27" s="88"/>
      <c r="K27" s="204"/>
      <c r="L27" s="112"/>
      <c r="M27" s="119">
        <f>IF(C2="P",Q27,S27)</f>
        <v>-590.9</v>
      </c>
      <c r="N27" s="15"/>
      <c r="O27" s="207" t="str">
        <f>IF(C2="P",IF(D2="STATIC",IF(D5&gt;D6,"","▲"),IF(D5&gt;D6,"▲","")),IF(D2="STATIC",IF(D6&gt;D5,"","▲"),IF(D6&gt;D5,"▲","")))</f>
        <v/>
      </c>
      <c r="P27" s="20"/>
      <c r="Q27" s="141">
        <f>E17</f>
        <v>-590.9</v>
      </c>
      <c r="R27" s="142"/>
      <c r="S27" s="143">
        <f>E14</f>
        <v>12675.1</v>
      </c>
    </row>
    <row r="28" spans="1:19" ht="15.75" x14ac:dyDescent="0.25">
      <c r="B28" s="80"/>
      <c r="C28" s="145"/>
      <c r="D28" s="146"/>
      <c r="E28" s="205" t="str">
        <f>IF(ISNUMBER(SEARCH("|", M24)), MID(M24,FIND("|",M24,1)+1,LEN(M24)), M24)</f>
        <v>1850,5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topLeftCell="A157" zoomScaleNormal="100" workbookViewId="0">
      <selection activeCell="P206" sqref="P206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97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22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121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23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32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98</v>
      </c>
      <c r="G13" s="154"/>
      <c r="H13" s="157" t="s">
        <v>99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33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34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35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36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37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38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103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131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134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133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111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76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39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40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41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42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43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44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45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46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47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48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77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49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50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51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52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100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119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101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85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102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62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64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63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65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86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87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78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104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132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53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106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107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54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105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79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55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125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122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123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124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56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57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136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137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88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112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129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126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58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59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60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61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83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127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108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109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128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135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110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84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89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143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144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90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91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145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66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80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118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67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113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92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68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69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93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94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95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70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71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146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155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71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114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72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73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74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75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96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130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147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148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81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115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81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138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140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139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142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141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82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116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215"/>
    <col min="2" max="3" width="11.42578125" style="215" customWidth="1"/>
    <col min="4" max="16384" width="11.42578125" style="215"/>
  </cols>
  <sheetData>
    <row r="5" spans="3:3" ht="17.25" x14ac:dyDescent="0.3">
      <c r="C5" s="216"/>
    </row>
    <row r="7" spans="3:3" ht="17.25" x14ac:dyDescent="0.3">
      <c r="C7" s="217"/>
    </row>
    <row r="9" spans="3:3" x14ac:dyDescent="0.25">
      <c r="C9" s="218"/>
    </row>
    <row r="10" spans="3:3" x14ac:dyDescent="0.25">
      <c r="C10" s="219"/>
    </row>
    <row r="11" spans="3:3" x14ac:dyDescent="0.25">
      <c r="C11" s="220"/>
    </row>
    <row r="12" spans="3:3" x14ac:dyDescent="0.25">
      <c r="C12" s="218"/>
    </row>
    <row r="13" spans="3:3" x14ac:dyDescent="0.25">
      <c r="C13" s="220"/>
    </row>
    <row r="14" spans="3:3" x14ac:dyDescent="0.25">
      <c r="C14" s="220"/>
    </row>
    <row r="15" spans="3:3" ht="17.25" x14ac:dyDescent="0.3">
      <c r="C15" s="217"/>
    </row>
    <row r="17" spans="3:3" x14ac:dyDescent="0.25">
      <c r="C17" s="220"/>
    </row>
    <row r="18" spans="3:3" x14ac:dyDescent="0.25">
      <c r="C18" s="218"/>
    </row>
    <row r="19" spans="3:3" x14ac:dyDescent="0.25">
      <c r="C19" s="218"/>
    </row>
    <row r="20" spans="3:3" x14ac:dyDescent="0.25">
      <c r="C20" s="218"/>
    </row>
    <row r="21" spans="3:3" x14ac:dyDescent="0.25">
      <c r="C21" s="220"/>
    </row>
    <row r="22" spans="3:3" x14ac:dyDescent="0.25">
      <c r="C22" s="220"/>
    </row>
    <row r="23" spans="3:3" x14ac:dyDescent="0.25">
      <c r="C23" s="218"/>
    </row>
    <row r="24" spans="3:3" x14ac:dyDescent="0.25">
      <c r="C24" s="218"/>
    </row>
    <row r="25" spans="3:3" x14ac:dyDescent="0.25">
      <c r="C25" s="220"/>
    </row>
    <row r="26" spans="3:3" x14ac:dyDescent="0.25">
      <c r="C26" s="220"/>
    </row>
    <row r="27" spans="3:3" x14ac:dyDescent="0.25">
      <c r="C27" s="218"/>
    </row>
    <row r="28" spans="3:3" x14ac:dyDescent="0.25">
      <c r="C28" s="218"/>
    </row>
    <row r="29" spans="3:3" x14ac:dyDescent="0.25">
      <c r="C29" s="220"/>
    </row>
    <row r="30" spans="3:3" x14ac:dyDescent="0.25">
      <c r="C30" s="220"/>
    </row>
    <row r="31" spans="3:3" x14ac:dyDescent="0.25">
      <c r="C31" s="220"/>
    </row>
    <row r="32" spans="3:3" x14ac:dyDescent="0.25">
      <c r="C32" s="220"/>
    </row>
    <row r="33" spans="3:3" x14ac:dyDescent="0.25">
      <c r="C33" s="220"/>
    </row>
    <row r="34" spans="3:3" x14ac:dyDescent="0.25">
      <c r="C34" s="220"/>
    </row>
    <row r="35" spans="3:3" ht="17.25" x14ac:dyDescent="0.3">
      <c r="C35" s="217"/>
    </row>
    <row r="37" spans="3:3" x14ac:dyDescent="0.25">
      <c r="C37" s="218"/>
    </row>
    <row r="38" spans="3:3" x14ac:dyDescent="0.25">
      <c r="C38" s="220"/>
    </row>
    <row r="39" spans="3:3" x14ac:dyDescent="0.25">
      <c r="C39" s="220"/>
    </row>
    <row r="40" spans="3:3" x14ac:dyDescent="0.25">
      <c r="C40" s="218"/>
    </row>
    <row r="41" spans="3:3" x14ac:dyDescent="0.25">
      <c r="C41" s="220"/>
    </row>
    <row r="42" spans="3:3" x14ac:dyDescent="0.25">
      <c r="C42" s="220"/>
    </row>
    <row r="43" spans="3:3" x14ac:dyDescent="0.25">
      <c r="C43" s="218"/>
    </row>
    <row r="44" spans="3:3" x14ac:dyDescent="0.25">
      <c r="C44" s="220"/>
    </row>
    <row r="45" spans="3:3" ht="17.25" x14ac:dyDescent="0.3">
      <c r="C45" s="21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2026-05-27T10:13:35Z</dcterms:modified>
</cp:coreProperties>
</file>