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rderView\"/>
    </mc:Choice>
  </mc:AlternateContent>
  <bookViews>
    <workbookView xWindow="2040" yWindow="0" windowWidth="5415" windowHeight="3990"/>
  </bookViews>
  <sheets>
    <sheet name="PL" sheetId="1" r:id="rId1"/>
    <sheet name="README" sheetId="2" r:id="rId2"/>
    <sheet name="Feuil1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1" l="1"/>
  <c r="O27" i="1"/>
  <c r="O4" i="1"/>
  <c r="C180" i="2" l="1"/>
  <c r="Q4" i="1"/>
  <c r="D14" i="1"/>
  <c r="F14" i="1"/>
  <c r="E14" i="1"/>
  <c r="S27" i="1" s="1"/>
  <c r="H8" i="1"/>
  <c r="S4" i="1"/>
  <c r="D7" i="1"/>
  <c r="E18" i="1" s="1"/>
  <c r="E16" i="1" l="1"/>
  <c r="D8" i="1" s="1"/>
  <c r="D9" i="1" s="1"/>
  <c r="E19" i="1"/>
  <c r="L4" i="1"/>
  <c r="E17" i="1"/>
  <c r="Q27" i="1" s="1"/>
  <c r="M27" i="1" s="1"/>
  <c r="E15" i="1"/>
  <c r="Q14" i="1" s="1"/>
  <c r="S16" i="1" s="1"/>
  <c r="E20" i="1"/>
  <c r="H18" i="1" l="1"/>
  <c r="I20" i="1"/>
  <c r="Q22" i="1" s="1"/>
  <c r="D20" i="1"/>
  <c r="F16" i="1"/>
  <c r="Q17" i="1" s="1"/>
  <c r="D17" i="1"/>
  <c r="F17" i="1"/>
  <c r="D15" i="1"/>
  <c r="Q7" i="1" s="1"/>
  <c r="F18" i="1"/>
  <c r="D16" i="1"/>
  <c r="F20" i="1"/>
  <c r="D19" i="1"/>
  <c r="D18" i="1"/>
  <c r="R14" i="1" s="1"/>
  <c r="F15" i="1"/>
  <c r="F19" i="1"/>
  <c r="S9" i="1" l="1"/>
  <c r="Q12" i="1"/>
  <c r="S19" i="1" s="1"/>
  <c r="S24" i="1"/>
  <c r="G20" i="1"/>
  <c r="S13" i="1"/>
  <c r="Q18" i="1"/>
  <c r="S5" i="1"/>
  <c r="Q26" i="1"/>
  <c r="R13" i="1"/>
  <c r="G15" i="1"/>
  <c r="H6" i="1" s="1"/>
  <c r="S18" i="1"/>
  <c r="I17" i="1"/>
  <c r="S17" i="1" s="1"/>
  <c r="M13" i="1" s="1"/>
  <c r="H14" i="1"/>
  <c r="Q10" i="1"/>
  <c r="M18" i="1" l="1"/>
  <c r="M17" i="1"/>
  <c r="S21" i="1"/>
  <c r="S26" i="1"/>
  <c r="H19" i="1"/>
  <c r="H20" i="1"/>
  <c r="H17" i="1"/>
  <c r="S12" i="1" s="1"/>
  <c r="H15" i="1"/>
  <c r="Q11" i="1" s="1"/>
  <c r="Q5" i="1"/>
  <c r="H16" i="1"/>
  <c r="G6" i="1"/>
  <c r="D10" i="1"/>
  <c r="Q13" i="1"/>
  <c r="M12" i="1" s="1"/>
  <c r="Q19" i="1" l="1"/>
  <c r="M19" i="1" s="1"/>
  <c r="L12" i="1"/>
  <c r="S20" i="1"/>
  <c r="S15" i="1"/>
  <c r="R15" i="1"/>
  <c r="Q15" i="1"/>
  <c r="M15" i="1" s="1"/>
  <c r="G5" i="1"/>
  <c r="H5" i="1"/>
  <c r="G14" i="1"/>
  <c r="G17" i="1"/>
  <c r="G19" i="1"/>
  <c r="M26" i="1" s="1"/>
  <c r="G18" i="1"/>
  <c r="G16" i="1"/>
  <c r="S14" i="1" s="1"/>
  <c r="Q16" i="1" l="1"/>
  <c r="M16" i="1" s="1"/>
  <c r="M14" i="1"/>
  <c r="L5" i="1"/>
  <c r="Q23" i="1"/>
  <c r="I15" i="1"/>
  <c r="S7" i="1" s="1"/>
  <c r="I14" i="1"/>
  <c r="S6" i="1" s="1"/>
  <c r="Q25" i="1" s="1"/>
  <c r="H7" i="1"/>
  <c r="H9" i="1" s="1"/>
  <c r="D2" i="1" s="1"/>
  <c r="Q6" i="1"/>
  <c r="I19" i="1"/>
  <c r="S22" i="1" s="1"/>
  <c r="I18" i="1"/>
  <c r="S23" i="1" s="1"/>
  <c r="Q8" i="1" s="1"/>
  <c r="S11" i="1"/>
  <c r="I16" i="1"/>
  <c r="S10" i="1" s="1"/>
  <c r="Q20" i="1" l="1"/>
  <c r="M20" i="1" s="1"/>
  <c r="L11" i="1"/>
  <c r="C24" i="1"/>
  <c r="J24" i="1"/>
  <c r="F24" i="1"/>
  <c r="K24" i="1"/>
  <c r="Q9" i="1"/>
  <c r="M22" i="1"/>
  <c r="Q21" i="1"/>
  <c r="M21" i="1" s="1"/>
  <c r="L10" i="1"/>
  <c r="Q24" i="1"/>
  <c r="M24" i="1" s="1"/>
  <c r="E28" i="1" s="1"/>
  <c r="L7" i="1"/>
  <c r="S25" i="1"/>
  <c r="M25" i="1" s="1"/>
  <c r="L6" i="1"/>
  <c r="S8" i="1"/>
  <c r="L8" i="1" s="1"/>
  <c r="M23" i="1"/>
</calcChain>
</file>

<file path=xl/comments1.xml><?xml version="1.0" encoding="utf-8"?>
<comments xmlns="http://schemas.openxmlformats.org/spreadsheetml/2006/main">
  <authors>
    <author>KEMGUE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KEMGUE:
</t>
        </r>
        <r>
          <rPr>
            <sz val="9"/>
            <color indexed="81"/>
            <rFont val="Tahoma"/>
            <family val="2"/>
          </rPr>
          <t>Strategy  P or L refer parameter for more explanation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TO BUY USE BID PRICE 
TO SELL USE ASK PRICE 
SEE RESULT IN </t>
        </r>
        <r>
          <rPr>
            <b/>
            <sz val="9"/>
            <color indexed="81"/>
            <rFont val="Tahoma"/>
            <family val="2"/>
          </rPr>
          <t>ORDERBOOK</t>
        </r>
        <r>
          <rPr>
            <sz val="9"/>
            <color indexed="81"/>
            <rFont val="Tahoma"/>
            <family val="2"/>
          </rPr>
          <t xml:space="preserve"> SECTION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 de l'actif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periode d'etude
1 MIN , 15 MIN, 1H , 4H , 1D, 1W ,1M , 6M ….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nombre de chiffre apres la virgule 
valeur par defaut = 4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 xml:space="preserve">
BID for BUY
ASK for SELL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defaut startegy P if #price1 &gt; #price2     else
 strategy L
#price1 &lt;  #price2 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 PRICE 1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RANGE SPREAD  in pib smallest risk coverage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DEFAULT PRICE 2</t>
        </r>
      </text>
    </comment>
    <comment ref="G6" authorId="0" shapeId="0">
      <text>
        <r>
          <rPr>
            <b/>
            <sz val="9"/>
            <color indexed="81"/>
            <rFont val="Tahoma"/>
            <charset val="1"/>
          </rPr>
          <t>Average orderbok price volatility represent the correct 1:1 ratio for drip price market entrance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APV = Average Orderbook Rrice Volatility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</rPr>
          <t>Defaut error marging 0,1 can be modified inside formula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SI 1 = 100% ALORS RETRANCHER 0,236 ET IL RESTE 0,764 SOIT 76,4% QUI EST LE RATIO PIVOT ALORS
REGLE DE TROIS 
SI 76,4% =25,94
    100% = ?
RESULTAT RATIO AJUSTER ON Y RETRANCHE AU RATIO AJUSTER LE RATIO PIVOT ON OBTIENT AJUSTEMENT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
AOP = Average Orderbook Price</t>
        </r>
      </text>
    </comment>
    <comment ref="M13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P stategy
GO
C 0+
E  236 COEUR
obj1 382 COEUR
obj2 AOP
L strategy
Go
C BRK
E  236+
obj1 382 COEUR
obj2  CO-AOP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Strategy P
GO
C 236 COEUR
BREAK 236 PA
OBJ 1 GAP
OBJ 2 238 GAUCHE
Strategy L
GO
C 236+
BREAK  05 PS
OBJ 1 382 GAUCHE
OBJ 2 GAP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382 PA = SOLO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 xml:space="preserve">P stategy
GO 
C 382 COEUR
E  AOP
G 382 PS
obj 0+
L strategy
Go 
C 382+
E 786 COEUR
G 618 COEUR
obj BRK
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382 PS | 618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 xml:space="preserve">Strategy P
Go 
C COR
E 382 coeur
G AOP
obj CO-AOP
stategy L
GO 
C 618 PS
E 382+
G CO-AOP
obj AOP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786 COEUR | TCHAD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</rPr>
          <t>P stategy
GO 
C base+
E  236 PA
G GAP
obj 382+
L strategy
Go 
C base
E 236+
G 382 gauche
obj 382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 xml:space="preserve">05PA en L 
AOP en P ne sert pas  
AOP en L sert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05 PS | 236 PA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382 | 382+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COR | 618 PS</t>
        </r>
      </text>
    </comment>
    <comment ref="Q23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BRK | 0+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618 BAS | 786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6" authorId="0" shapeId="0">
      <text>
        <r>
          <rPr>
            <b/>
            <sz val="9"/>
            <color indexed="81"/>
            <rFont val="Tahoma"/>
            <family val="2"/>
          </rPr>
          <t>618 BAS | 0+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GO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FILTER</t>
        </r>
      </text>
    </comment>
  </commentList>
</comments>
</file>

<file path=xl/sharedStrings.xml><?xml version="1.0" encoding="utf-8"?>
<sst xmlns="http://schemas.openxmlformats.org/spreadsheetml/2006/main" count="202" uniqueCount="172">
  <si>
    <t>ORDER BOOK</t>
  </si>
  <si>
    <t>VALEURS</t>
  </si>
  <si>
    <t>PARAMS</t>
  </si>
  <si>
    <t>RATIO RETRACEMENT</t>
  </si>
  <si>
    <t xml:space="preserve">MOVING RATE </t>
  </si>
  <si>
    <t>BASE</t>
  </si>
  <si>
    <t>FIXE RATE</t>
  </si>
  <si>
    <t>RATIO BASE</t>
  </si>
  <si>
    <t>ERROR MARGING</t>
  </si>
  <si>
    <t>RATIO PIVOT</t>
  </si>
  <si>
    <t>FIBONNACI POINTS</t>
  </si>
  <si>
    <t>COEUR</t>
  </si>
  <si>
    <t>LIGNES PIVOT</t>
  </si>
  <si>
    <t>AJUSTEMENT</t>
  </si>
  <si>
    <t>QUANTITY</t>
  </si>
  <si>
    <t>LEVERAGE</t>
  </si>
  <si>
    <t>MARGING</t>
  </si>
  <si>
    <t>ORDER</t>
  </si>
  <si>
    <t>RISK</t>
  </si>
  <si>
    <t>PERCENTAGE</t>
  </si>
  <si>
    <t>GAIN</t>
  </si>
  <si>
    <t>COLONNE |HAUT</t>
  </si>
  <si>
    <t>COLONNE| BAS</t>
  </si>
  <si>
    <t>L'ensemble des données de l'indicateur est uniquement fourni à titre indicatif.</t>
  </si>
  <si>
    <t>En cas d'erreur ou de négligence, vous ne devez pas vous fier exclusivement à ces données pour prendre des décisions en trading.</t>
  </si>
  <si>
    <t>TRADE</t>
  </si>
  <si>
    <t>SETTINGS</t>
  </si>
  <si>
    <t>VALUES              |                        PIB</t>
  </si>
  <si>
    <t>MARKER</t>
  </si>
  <si>
    <t>LIGNES SPECIALES</t>
  </si>
  <si>
    <t>ECHELLE H</t>
  </si>
  <si>
    <t>◄</t>
  </si>
  <si>
    <t xml:space="preserve"> </t>
  </si>
  <si>
    <t>RATIO RISK</t>
  </si>
  <si>
    <t>/ This source code is subject to the terms of the Mozilla Public License 2.0 at https://mozilla.org/MPL/2.0/</t>
  </si>
  <si>
    <t>// .................................................. plan du tutoriel ...................................................................</t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</si>
  <si>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PRESENTATION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</si>
  <si>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LES PARAMETRES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</si>
  <si>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ETAPE INITIALE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</si>
  <si>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ETUDE STANDARD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</si>
  <si>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EXAMPLE ILLUSTRATIF</t>
    </r>
  </si>
  <si>
    <t>// a la lettre "P"  repartie ainsi qu'il suit :</t>
  </si>
  <si>
    <t>//    ► GROUPE 1 et 2 represente le graphique dont les prix s'affiche le plus a gauche</t>
  </si>
  <si>
    <t xml:space="preserve">//      les prix du groupe 1 et 2 represente deux nibeaux de retracement de fibonnaci </t>
  </si>
  <si>
    <t xml:space="preserve">//      superposee l'un sur l'autre (LES PAIRES) de tel sorte que le retracement 0.382 </t>
  </si>
  <si>
    <t xml:space="preserve">//      du premier (LONG =&gt; "de son petit nom") correspondont au retracemnt 0.5 de </t>
  </si>
  <si>
    <t>//      l'autre (COURT) .</t>
  </si>
  <si>
    <t xml:space="preserve">//    ► le groupe 3 (COEUR) est le niveau de retracement avec les prix centrer au millieu </t>
  </si>
  <si>
    <t xml:space="preserve">//      de l'indicteur ce niveau de retracement est tracer de tel sorte que le point de </t>
  </si>
  <si>
    <t xml:space="preserve">//      jonction creer entre 0.382 LONG et 0.5 COURT donc le nom est (BASE) soit egale au </t>
  </si>
  <si>
    <t>//      niveau 1 du COEUR.</t>
  </si>
  <si>
    <t>//      les niveaux de prix des trois graphiques precedents le point de depart des pivots  </t>
  </si>
  <si>
    <t>//      est 0.786 LONG est egale a 1 PIVOT. le premier pivot est concu de tels sorte que le</t>
  </si>
  <si>
    <t xml:space="preserve">//      niveau 0.236 du PIVOT soit egale au niveau 0.5 du COEUR le second (PIVOT AJUSTER) </t>
  </si>
  <si>
    <t>//      est trace de tel sorte que le niveau 0.618 du PIVOT soit egale a la BASE</t>
  </si>
  <si>
    <t>//               le graphique que vous obtenez est le graphique L.</t>
  </si>
  <si>
    <t>// AJUSTER PIVOT : checkbox a cocher pour activer l'ajustement du pivot . (nous y reviendrons)</t>
  </si>
  <si>
    <t>// NB: la strategie n'est pas oblgatoire sauf si c'est pour specifier le niveau dans une strategie precise</t>
  </si>
  <si>
    <t xml:space="preserve">// l'etude PL se decompose en deux types: l'etude standard et l'etude approfondie.dans le cadre de ce tutoriel </t>
  </si>
  <si>
    <t xml:space="preserve">// nous evoquerons uniquement l'etude standard </t>
  </si>
  <si>
    <t>// - lors de l'etude d'une tendance a la hausse , la ligne de prix la plus basse doit etre static et le ligne de prix la plus haute</t>
  </si>
  <si>
    <t>// va servir d'ajustement.</t>
  </si>
  <si>
    <t xml:space="preserve">// dans une etude de la tendance a la baisse la ligne de prix la plus haute doit etre static et la ligne des prix la plus basse </t>
  </si>
  <si>
    <t>// servira d'ajustement.</t>
  </si>
  <si>
    <t>// les ZONES DE CORRESPONDANCE , ils en existent plusieurs dans le graphique PL donc les plus significatives sont :</t>
  </si>
  <si>
    <t>// 236COEUR/236+</t>
  </si>
  <si>
    <t xml:space="preserve">// BRK/OPIVOT </t>
  </si>
  <si>
    <t xml:space="preserve">// COR/618PIVOT </t>
  </si>
  <si>
    <t>// legerement en dessous du prix de la ligne de tension qui a ete casser c'est ce que j'appel un PRIX DE REVIENT qui</t>
  </si>
  <si>
    <t xml:space="preserve">// il peut arriver que dans la zone de tension, le prix cede plutot la ligne de tension dans le sens contraire du marche </t>
  </si>
  <si>
    <t xml:space="preserve">// un ordre baleine est passer sur un marche peut liquide ... il est donc tres important dans une zone de tension </t>
  </si>
  <si>
    <t xml:space="preserve">// une fois que le prix a quitter la zone de tension apres etre revenu au prix de revient comme ce sera generalement le cas </t>
  </si>
  <si>
    <t>// si la tendance ne subi pas une pertubation majeure c'est a dire ne cede pas la pression des contraires (voir plus haut)</t>
  </si>
  <si>
    <t>// est desormais le nouveau moteur de l'actif .</t>
  </si>
  <si>
    <t>//.................................................................................................................................</t>
  </si>
  <si>
    <t>// la zone de pression en partant d'une ligne de correspondnace significative. c'est ce que j'appel la REGLE ALPHA du PL        ...</t>
  </si>
  <si>
    <t>// significative corresponde a un point de prix significatif le la structure des prix du marche par example un break ,</t>
  </si>
  <si>
    <t xml:space="preserve">// un retracement , une ressitance ou un break solide (c'est a dire ayant ete confirmer au moins 2 fois voir plus de 3 fois) </t>
  </si>
  <si>
    <t xml:space="preserve">// rechercher la zone de tension significative ( c'est a dire la zone dans laquel le prix a fais un aller retour au moins une fois </t>
  </si>
  <si>
    <t xml:space="preserve">// avant de poursuivre dans le sens de la tendance ). A partir la zone de correspondance qui vous sert de curseur, proceder a la </t>
  </si>
  <si>
    <t xml:space="preserve">// a ete soignesement ranger pour former une representation graphique ressemblant soit a la lettre "L" soit </t>
  </si>
  <si>
    <t xml:space="preserve">//    ► le groupe 4 (PIVOT SIMPLE) est en fait deux niveaux de fibonnaci distinct qui complete </t>
  </si>
  <si>
    <t>// 05COEUR/05PIVOTAJUSTER</t>
  </si>
  <si>
    <r>
      <t>// Avant de debuter voici la CONVENTION DE NOMMAGE des lignes du nuage des prix PL : (FIBOPNNACI+GROUPE</t>
    </r>
    <r>
      <rPr>
        <b/>
        <sz val="10"/>
        <color rgb="FF787B86"/>
        <rFont val="Consolas"/>
        <family val="3"/>
      </rPr>
      <t>.</t>
    </r>
    <r>
      <rPr>
        <sz val="10"/>
        <color rgb="FF787B86"/>
        <rFont val="Consolas"/>
        <family val="3"/>
      </rPr>
      <t>stategie )</t>
    </r>
  </si>
  <si>
    <t xml:space="preserve">// la tendance est alors dite "confirmer". Dans le cas contraire le cours va se heurter a un premier niveau de break puis faire un retour </t>
  </si>
  <si>
    <t>// la tendance en couurs  est prometteuse</t>
  </si>
  <si>
    <t>// on dis alors que le marche A "CEDER A LA PRESSION DES CONTRAIRE". les dominants du marche on alors perdu la main et le prix</t>
  </si>
  <si>
    <t>// En un mot tout l'art de l'etude standard est de trouver la zone de tension qui se situe dans     ...</t>
  </si>
  <si>
    <t>//.................................................................................................................</t>
  </si>
  <si>
    <t>// ................................................................................................................</t>
  </si>
  <si>
    <t>// une fois affichee, l'ensemble des lignes PL se composent de trois zones :</t>
  </si>
  <si>
    <t>// c'est la zone ou les market maker se  livrent a la bataille des prix pour forcer l'evolution du marche dans un sens ou dans l'autre.   </t>
  </si>
  <si>
    <t xml:space="preserve">//      le curseur etant le premier niveau de break dans une tendance a partir du point le plus haut ou le plus bas qui le precede </t>
  </si>
  <si>
    <t>// 382COEUR/382+</t>
  </si>
  <si>
    <t>// BASE/BASE+</t>
  </si>
  <si>
    <t xml:space="preserve">// le principe de l'etude standard est simple les deux droites du PL doivent etre placees de tel sorte que l'une des ligne GO soit static </t>
  </si>
  <si>
    <t>// - les deux ZONES DE DEPRESSION : c'est la zone des prix entre la ligne Go et le curseur et sa zone correspondante</t>
  </si>
  <si>
    <t xml:space="preserve">// ici le princique est que lorsque le marcche ouvre la séance hors de la zone de tension dans le sens de la tendance, </t>
  </si>
  <si>
    <t xml:space="preserve">// la ZONE DE PRESSION c'est la zone des prix qui se trouve entre le curseur et le prix moyen d'execution des ordre dans le carnet </t>
  </si>
  <si>
    <r>
      <t xml:space="preserve">//d'ordre appeler AOP (AVERAGE ORDERBOOK PRICE) representant le premier niveau theorique de correction du marche </t>
    </r>
    <r>
      <rPr>
        <b/>
        <i/>
        <sz val="10"/>
        <color rgb="FF787B86"/>
        <rFont val="Consolas"/>
        <family val="3"/>
      </rPr>
      <t>(la main invisible)</t>
    </r>
  </si>
  <si>
    <t>// est en fait un premier niveau de retracement avant la reprise de la tendance vers la main invisible qui va corriger le marche</t>
  </si>
  <si>
    <t xml:space="preserve">// on dit alors que le marche est "MARCHE EN MARCHE" c'est dire que les investisseurs ont des nouvelles qui laissent croire que </t>
  </si>
  <si>
    <t>/// ouvre hors de la zone de tension.</t>
  </si>
  <si>
    <t xml:space="preserve">// le cours de l'actif va evoluer dans la tendance dominante pour rejoindrela main invisible . ce niveau </t>
  </si>
  <si>
    <t>// de correction generalement va marquer le retournement de tendance . mais il peut arriver que la tendance traverse la main invisible</t>
  </si>
  <si>
    <t xml:space="preserve">// pour poursuivre son mouvement je qualifie alors l'actif DE "MARCHE QUI A LE VENT EN POUPE" car la confiance des investisseurs </t>
  </si>
  <si>
    <t>// lecture du prix de revient et de la main invisible</t>
  </si>
  <si>
    <t>PRICE LEVEL INDICATOR</t>
  </si>
  <si>
    <t>lejahmal@gmail.com</t>
  </si>
  <si>
    <t>|  00 (237) 697356466</t>
  </si>
  <si>
    <t>//      les lignes speciales ajoutes manuellement ne forment pas un groupe en tant que elles. Elles servent a marquer la correspondance</t>
  </si>
  <si>
    <t>//      en ceci que elles servent de ligne curseur pour chaque etude standard (nous y reviendrons)</t>
  </si>
  <si>
    <t>//      directement. Le depart est toujours soit #PRICE1 ou #PRICE2 que j'appele ligne de "GO" c'est a dire ligne de depart de l'etude</t>
  </si>
  <si>
    <r>
      <t xml:space="preserve">// ------------------------------------------------------- </t>
    </r>
    <r>
      <rPr>
        <sz val="10"/>
        <rFont val="Consolas"/>
        <family val="3"/>
      </rPr>
      <t>PRESENTATION</t>
    </r>
    <r>
      <rPr>
        <sz val="10"/>
        <color rgb="FF787B86"/>
        <rFont val="Consolas"/>
        <family val="3"/>
      </rPr>
      <t xml:space="preserve"> -----------------------------------------------------------------</t>
    </r>
  </si>
  <si>
    <r>
      <t xml:space="preserve">// ....................................................... </t>
    </r>
    <r>
      <rPr>
        <sz val="10"/>
        <rFont val="Consolas"/>
        <family val="3"/>
      </rPr>
      <t>LES PARAMETRES</t>
    </r>
    <r>
      <rPr>
        <sz val="10"/>
        <color rgb="FF787B86"/>
        <rFont val="Consolas"/>
        <family val="3"/>
      </rPr>
      <t xml:space="preserve"> ..............................................................</t>
    </r>
  </si>
  <si>
    <r>
      <t xml:space="preserve">// -------------------------------------------------------- </t>
    </r>
    <r>
      <rPr>
        <sz val="10"/>
        <rFont val="Consolas"/>
        <family val="3"/>
      </rPr>
      <t>ETAPE INITIALE</t>
    </r>
    <r>
      <rPr>
        <sz val="10"/>
        <color rgb="FF787B86"/>
        <rFont val="Consolas"/>
        <family val="3"/>
      </rPr>
      <t xml:space="preserve"> -------------------------------------------------------------</t>
    </r>
  </si>
  <si>
    <t>// #PRICE1    : est le prix le prix le plus haut a selectioner pour commencer l'etude</t>
  </si>
  <si>
    <t xml:space="preserve">// #PRICE2    : est le prix le plus bas a selectionner pour commencer l'etude, </t>
  </si>
  <si>
    <t xml:space="preserve">//  la zone la plus  basse des deux est la zone de survente et la zone la plus haute est la zone de surachat c'est la zone de prix </t>
  </si>
  <si>
    <t>//  qui indique que la tendance en cours est arrive a epuissement</t>
  </si>
  <si>
    <t>// la ZONE DE TENSIION c'est une zone de prix contenu dans la zone de pression. Marquer par les aller et retour de prix entre deux points</t>
  </si>
  <si>
    <t>// pour faciliter la comprehension le nuage PL se compose de 4 groupes de donnees distincts dont l'ensemble</t>
  </si>
  <si>
    <t xml:space="preserve">// et l'autre serve de droite d'ajustement (pour ajuster les prix, faite glisser la ligne d'ajustement) </t>
  </si>
  <si>
    <t>// d'observer les cassures qui ont lieu au niveau des lignes de tension Lorsque la séance de marche suivante sur la periode de l'etude</t>
  </si>
  <si>
    <t>// pour ce faire , placer votre PL,  faite glisser la ligne d'ajustement de tels sorte que une ligne de correspondance</t>
  </si>
  <si>
    <t>// STRATEGIE                    .               P                   .                     L                       .      </t>
  </si>
  <si>
    <t xml:space="preserve">// NB: ceci ne constitue en aucun cas un conseil en investissement. </t>
  </si>
  <si>
    <t>MATRICE</t>
  </si>
  <si>
    <t xml:space="preserve">// evoluera donc en contre tendance c'est gereralement le cas des effets d'annonces qui suprennent le marche ou encore lorsque </t>
  </si>
  <si>
    <t xml:space="preserve">//      entre certaines lignes du PL de tels sorte que les prix P soit presque egale au prix L et inversement , elles sont essentielles </t>
  </si>
  <si>
    <t xml:space="preserve">LINE 1   </t>
  </si>
  <si>
    <t>LINE 2</t>
  </si>
  <si>
    <t>L'exactitude n'est pas garantie et aucune promesse n'y est émise quant à l'exactitude des données.</t>
  </si>
  <si>
    <t>// example 382PS.P (represente le ligne 0.382 du groupe pivot simple de la startegie P)</t>
  </si>
  <si>
    <t>// example 236PA.P (represente le ligne 0.236 du groupe pivot ajuster de la startegie P)</t>
  </si>
  <si>
    <t>// example 382 , 618PS, 786PA , 05C , 382L , GAP.P  …</t>
  </si>
  <si>
    <t>// example 05.L (represente le ligne 0.5 du groupe coeur de la startegie L)</t>
  </si>
  <si>
    <t>//  (marker 0PS.P) soit egale au premier niveau de break dans le sens de la tendance en cours</t>
  </si>
  <si>
    <t>// - les deux ZONES DE DEPRESSION : c'est la zone des prix entre la ligne Go et le marker et sa zone correspondante</t>
  </si>
  <si>
    <t>// la ZONE DE PRESSION c'est la zone des prix qui se trouve entre le marker et le prix moyen d'execution des ordre dans le carnet d'ordre</t>
  </si>
  <si>
    <t>// placez une ligne GO 0.P au niveau d'un prix significatif et ajustez l'autre ligne GO de tel sorte que la ligne speciale</t>
  </si>
  <si>
    <r>
      <t xml:space="preserve">// ...............................  </t>
    </r>
    <r>
      <rPr>
        <sz val="10"/>
        <rFont val="Consolas"/>
        <family val="3"/>
      </rPr>
      <t>EXAMPLE ILLUSTRATIF | LECTURE DU CARNET D"ORDRE (ORDERBOOK)</t>
    </r>
    <r>
      <rPr>
        <sz val="10"/>
        <color rgb="FF787B86"/>
        <rFont val="Consolas"/>
        <family val="3"/>
      </rPr>
      <t xml:space="preserve"> .........................................</t>
    </r>
  </si>
  <si>
    <t>// Le concepte de l'indicateur PL est un nuage de ligne de prix basée sur les niveaux de retracement de Fibonacci qui ont servi a remplir</t>
  </si>
  <si>
    <t>// STRATEGY   : PL se decompose en deux strategies  principale "P" et "L" et par defaut,</t>
  </si>
  <si>
    <t xml:space="preserve">//  au travers de multiples hypothèses mathématiques. </t>
  </si>
  <si>
    <t>// les points des fonctions d'une matrice dont la théorie initiale est la simulation du carnet d'ordre d'un actif sur une periode donnee</t>
  </si>
  <si>
    <t xml:space="preserve">//(ORDERBOOK) appeler AOP (AVERAGE ORDERBOOK PRICE) representant le prix moyen theorique de correction du marche </t>
  </si>
  <si>
    <r>
      <t xml:space="preserve">// -------------------------------------------------------------- </t>
    </r>
    <r>
      <rPr>
        <sz val="10"/>
        <rFont val="Consolas"/>
        <family val="3"/>
      </rPr>
      <t xml:space="preserve">ETUDE STANDARD </t>
    </r>
    <r>
      <rPr>
        <sz val="10"/>
        <color rgb="FF787B86"/>
        <rFont val="Consolas"/>
        <family val="3"/>
      </rPr>
      <t>---------------------------------------------------------</t>
    </r>
  </si>
  <si>
    <t xml:space="preserve">                                                                                                                                           GO = 0.P | MARKER = 0PS.P</t>
  </si>
  <si>
    <t>//  MARKER                      .              OPS                  .                    BRK                      .</t>
  </si>
  <si>
    <t>//  PRESION                     .            [AOP-236]              .                 [786-236+]                  .</t>
  </si>
  <si>
    <t>//  AOP                         .              05                   .                    786                      .</t>
  </si>
  <si>
    <t>//  VOLATILITY BREAK            .              236                  .                    236+                     .</t>
  </si>
  <si>
    <t>//  TENSION                     .               -                   .                      -                      .</t>
  </si>
  <si>
    <r>
      <t xml:space="preserve">// la tendance est alors dite "confirmer". </t>
    </r>
    <r>
      <rPr>
        <b/>
        <i/>
        <sz val="10"/>
        <color theme="1"/>
        <rFont val="Consolas"/>
        <family val="3"/>
      </rPr>
      <t>Dans le cas contraire le cours va se heurter a un premier niveau de break puis faire un retour</t>
    </r>
    <r>
      <rPr>
        <sz val="10"/>
        <color rgb="FF787B86"/>
        <rFont val="Consolas"/>
        <family val="3"/>
      </rPr>
      <t xml:space="preserve"> </t>
    </r>
  </si>
  <si>
    <r>
      <t xml:space="preserve">// </t>
    </r>
    <r>
      <rPr>
        <b/>
        <i/>
        <sz val="10"/>
        <color theme="1"/>
        <rFont val="Consolas"/>
        <family val="3"/>
      </rPr>
      <t>legerement en dessous du prix de la ligne de tension qui a ete casser c'est ce que j'appel un PRIX DE REVIENT</t>
    </r>
    <r>
      <rPr>
        <sz val="10"/>
        <color rgb="FF787B86"/>
        <rFont val="Consolas"/>
        <family val="3"/>
      </rPr>
      <t xml:space="preserve"> qui</t>
    </r>
  </si>
  <si>
    <t>// la tendance majeure en couurs  est prometteuse</t>
  </si>
  <si>
    <r>
      <t xml:space="preserve">// </t>
    </r>
    <r>
      <rPr>
        <b/>
        <i/>
        <sz val="10"/>
        <color theme="1"/>
        <rFont val="Consolas"/>
        <family val="3"/>
      </rPr>
      <t xml:space="preserve">la zone de pression en partant d'une ligne de correspondnace significative. c'est ce que j'appel la REGLE D'OR  </t>
    </r>
    <r>
      <rPr>
        <sz val="10"/>
        <color rgb="FF787B86"/>
        <rFont val="Consolas"/>
        <family val="3"/>
      </rPr>
      <t>               .</t>
    </r>
  </si>
  <si>
    <r>
      <t xml:space="preserve">// </t>
    </r>
    <r>
      <rPr>
        <b/>
        <i/>
        <sz val="10"/>
        <color theme="1"/>
        <rFont val="Consolas"/>
        <family val="3"/>
      </rPr>
      <t xml:space="preserve">En un mot tout l'art de l'etude standard est de trouver la zone de tension qui se situe dans </t>
    </r>
    <r>
      <rPr>
        <sz val="10"/>
        <color rgb="FF787B86"/>
        <rFont val="Consolas"/>
        <family val="3"/>
      </rPr>
      <t>                                  .</t>
    </r>
  </si>
  <si>
    <t>// placer l'etude standard GO = 0.P MARKER = 0PS.P puis inverser  LINE1 ET LINE2 et utiliser les valeur de l'etude L correspondante</t>
  </si>
  <si>
    <t>// les valeurs de l'etude L correspondante sont des prix legeremenr en dessous des prix exactes de marche</t>
  </si>
  <si>
    <t>618H | 786PA</t>
  </si>
  <si>
    <t>SL</t>
  </si>
  <si>
    <t>TP</t>
  </si>
  <si>
    <t>0+</t>
  </si>
  <si>
    <t>1W</t>
  </si>
  <si>
    <t>L</t>
  </si>
  <si>
    <t>GAZ</t>
  </si>
  <si>
    <t>BID</t>
  </si>
  <si>
    <t>2,5</t>
  </si>
  <si>
    <t>3,93</t>
  </si>
  <si>
    <t>2,14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</si>
</sst>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[$$-C0C]"/>
    <numFmt numFmtId="165" formatCode="#,##0.00\ [$$-C0C];[White]#,##0.00\ [$$-C0C]"/>
  </numFmts>
  <fonts count="4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1"/>
      <color rgb="FFFF010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rgb="FF202124"/>
      <name val="Consolas"/>
      <family val="3"/>
    </font>
    <font>
      <sz val="9"/>
      <color theme="1"/>
      <name val="Consolas"/>
      <family val="3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0"/>
      <color rgb="FFFFFFFF"/>
      <name val="Consolas"/>
      <family val="3"/>
    </font>
    <font>
      <sz val="10"/>
      <color rgb="FF787B86"/>
      <name val="Consolas"/>
      <family val="3"/>
    </font>
    <font>
      <i/>
      <sz val="10"/>
      <color theme="1"/>
      <name val="Calibri"/>
      <family val="2"/>
      <scheme val="minor"/>
    </font>
    <font>
      <b/>
      <sz val="10"/>
      <color rgb="FF787B86"/>
      <name val="Consolas"/>
      <family val="3"/>
    </font>
    <font>
      <b/>
      <i/>
      <sz val="10"/>
      <color rgb="FF787B86"/>
      <name val="Consolas"/>
      <family val="3"/>
    </font>
    <font>
      <sz val="9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sz val="9"/>
      <color rgb="FF0070C0"/>
      <name val="Consolas"/>
      <family val="3"/>
    </font>
    <font>
      <sz val="10"/>
      <name val="Consolas"/>
      <family val="3"/>
    </font>
    <font>
      <i/>
      <sz val="9"/>
      <color rgb="FF202124"/>
      <name val="Consolas"/>
      <family val="3"/>
    </font>
    <font>
      <i/>
      <sz val="9"/>
      <color theme="1"/>
      <name val="Consolas"/>
      <family val="3"/>
    </font>
    <font>
      <i/>
      <sz val="10"/>
      <color theme="1"/>
      <name val="Consolas"/>
      <family val="3"/>
    </font>
    <font>
      <b/>
      <sz val="9"/>
      <color indexed="81"/>
      <name val="Tahoma"/>
      <charset val="1"/>
    </font>
    <font>
      <i/>
      <sz val="9"/>
      <color theme="1"/>
      <name val="Calibri"/>
      <family val="2"/>
      <scheme val="minor"/>
    </font>
    <font>
      <b/>
      <i/>
      <sz val="10"/>
      <color theme="1"/>
      <name val="Consolas"/>
      <family val="3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0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79D39"/>
        <bgColor indexed="64"/>
      </patternFill>
    </fill>
    <fill>
      <patternFill patternType="solid">
        <fgColor rgb="FFE7030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2">
    <xf numFmtId="0" fontId="0" fillId="0" borderId="0"/>
    <xf numFmtId="0" fontId="31" fillId="0" borderId="0" applyNumberFormat="0" applyFill="0" applyBorder="0" applyAlignment="0" applyProtection="0"/>
  </cellStyleXfs>
  <cellXfs count="236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8" fillId="2" borderId="8" xfId="0" applyFont="1" applyFill="1" applyBorder="1" applyProtection="1">
      <protection locked="0"/>
    </xf>
    <xf numFmtId="0" fontId="0" fillId="0" borderId="6" xfId="0" applyBorder="1"/>
    <xf numFmtId="0" fontId="0" fillId="0" borderId="9" xfId="0" applyBorder="1" applyAlignment="1">
      <alignment horizontal="left"/>
    </xf>
    <xf numFmtId="2" fontId="0" fillId="0" borderId="10" xfId="0" applyNumberFormat="1" applyFont="1" applyFill="1" applyBorder="1" applyAlignment="1">
      <alignment horizontal="center"/>
    </xf>
    <xf numFmtId="0" fontId="0" fillId="0" borderId="3" xfId="0" applyNumberFormat="1" applyBorder="1" applyAlignment="1">
      <alignment horizontal="right"/>
    </xf>
    <xf numFmtId="0" fontId="2" fillId="0" borderId="6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 vertical="center"/>
    </xf>
    <xf numFmtId="0" fontId="2" fillId="0" borderId="11" xfId="0" applyFont="1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13" xfId="0" applyBorder="1" applyAlignment="1">
      <alignment horizontal="left"/>
    </xf>
    <xf numFmtId="2" fontId="0" fillId="0" borderId="4" xfId="0" applyNumberFormat="1" applyFont="1" applyFill="1" applyBorder="1"/>
    <xf numFmtId="0" fontId="0" fillId="0" borderId="14" xfId="0" applyNumberFormat="1" applyBorder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Font="1" applyFill="1" applyBorder="1" applyAlignment="1">
      <alignment horizontal="right"/>
    </xf>
    <xf numFmtId="0" fontId="0" fillId="0" borderId="10" xfId="0" applyBorder="1"/>
    <xf numFmtId="0" fontId="0" fillId="0" borderId="0" xfId="0" applyFill="1" applyBorder="1"/>
    <xf numFmtId="0" fontId="4" fillId="0" borderId="0" xfId="0" applyFont="1" applyFill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2" fontId="9" fillId="0" borderId="0" xfId="0" applyNumberFormat="1" applyFont="1" applyBorder="1" applyAlignment="1">
      <alignment horizontal="left"/>
    </xf>
    <xf numFmtId="2" fontId="3" fillId="0" borderId="0" xfId="0" applyNumberFormat="1" applyFont="1" applyBorder="1" applyAlignment="1">
      <alignment horizontal="left"/>
    </xf>
    <xf numFmtId="2" fontId="10" fillId="0" borderId="0" xfId="0" applyNumberFormat="1" applyFont="1" applyBorder="1" applyAlignment="1">
      <alignment horizontal="left"/>
    </xf>
    <xf numFmtId="2" fontId="11" fillId="0" borderId="0" xfId="0" applyNumberFormat="1" applyFont="1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17" fillId="2" borderId="3" xfId="0" applyFont="1" applyFill="1" applyBorder="1" applyAlignment="1" applyProtection="1">
      <protection locked="0"/>
    </xf>
    <xf numFmtId="0" fontId="0" fillId="3" borderId="3" xfId="0" applyNumberFormat="1" applyFill="1" applyBorder="1"/>
    <xf numFmtId="0" fontId="19" fillId="0" borderId="0" xfId="0" applyFont="1"/>
    <xf numFmtId="164" fontId="0" fillId="0" borderId="0" xfId="0" applyNumberForma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0" fontId="7" fillId="4" borderId="7" xfId="0" applyFont="1" applyFill="1" applyBorder="1"/>
    <xf numFmtId="0" fontId="7" fillId="5" borderId="7" xfId="0" applyFont="1" applyFill="1" applyBorder="1"/>
    <xf numFmtId="0" fontId="0" fillId="10" borderId="1" xfId="0" applyNumberFormat="1" applyFont="1" applyFill="1" applyBorder="1" applyAlignment="1">
      <alignment horizontal="left"/>
    </xf>
    <xf numFmtId="0" fontId="0" fillId="4" borderId="1" xfId="0" applyFont="1" applyFill="1" applyBorder="1" applyAlignment="1" applyProtection="1">
      <alignment horizontal="center"/>
    </xf>
    <xf numFmtId="0" fontId="0" fillId="12" borderId="1" xfId="0" applyNumberFormat="1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9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right" vertical="center"/>
    </xf>
    <xf numFmtId="0" fontId="0" fillId="12" borderId="1" xfId="0" applyNumberFormat="1" applyFont="1" applyFill="1" applyBorder="1" applyAlignment="1">
      <alignment horizontal="left"/>
    </xf>
    <xf numFmtId="0" fontId="0" fillId="7" borderId="1" xfId="0" applyFont="1" applyFill="1" applyBorder="1" applyAlignment="1" applyProtection="1">
      <alignment horizontal="center"/>
    </xf>
    <xf numFmtId="0" fontId="0" fillId="4" borderId="1" xfId="0" applyNumberFormat="1" applyFont="1" applyFill="1" applyBorder="1" applyAlignment="1">
      <alignment horizontal="left"/>
    </xf>
    <xf numFmtId="0" fontId="0" fillId="0" borderId="1" xfId="0" applyNumberFormat="1" applyFont="1" applyBorder="1" applyAlignment="1">
      <alignment horizontal="right"/>
    </xf>
    <xf numFmtId="0" fontId="0" fillId="5" borderId="1" xfId="0" applyNumberFormat="1" applyFont="1" applyFill="1" applyBorder="1" applyAlignment="1">
      <alignment horizontal="left" vertical="center"/>
    </xf>
    <xf numFmtId="0" fontId="0" fillId="3" borderId="1" xfId="0" applyNumberFormat="1" applyFont="1" applyFill="1" applyBorder="1" applyAlignment="1">
      <alignment horizontal="right"/>
    </xf>
    <xf numFmtId="0" fontId="0" fillId="6" borderId="1" xfId="0" applyNumberFormat="1" applyFont="1" applyFill="1" applyBorder="1" applyAlignment="1">
      <alignment horizontal="left" vertical="center"/>
    </xf>
    <xf numFmtId="0" fontId="0" fillId="9" borderId="1" xfId="0" applyFont="1" applyFill="1" applyBorder="1" applyAlignment="1">
      <alignment horizontal="right"/>
    </xf>
    <xf numFmtId="0" fontId="0" fillId="5" borderId="1" xfId="0" applyNumberFormat="1" applyFont="1" applyFill="1" applyBorder="1" applyAlignment="1">
      <alignment horizontal="left"/>
    </xf>
    <xf numFmtId="0" fontId="0" fillId="13" borderId="1" xfId="0" applyFont="1" applyFill="1" applyBorder="1" applyAlignment="1">
      <alignment horizontal="right"/>
    </xf>
    <xf numFmtId="0" fontId="0" fillId="13" borderId="1" xfId="0" applyNumberFormat="1" applyFont="1" applyFill="1" applyBorder="1" applyAlignment="1">
      <alignment horizontal="right"/>
    </xf>
    <xf numFmtId="0" fontId="0" fillId="15" borderId="1" xfId="0" applyNumberFormat="1" applyFont="1" applyFill="1" applyBorder="1" applyAlignment="1">
      <alignment horizontal="right"/>
    </xf>
    <xf numFmtId="0" fontId="0" fillId="16" borderId="1" xfId="0" applyNumberFormat="1" applyFont="1" applyFill="1" applyBorder="1" applyAlignment="1">
      <alignment horizontal="left"/>
    </xf>
    <xf numFmtId="0" fontId="0" fillId="15" borderId="1" xfId="0" applyNumberFormat="1" applyFont="1" applyFill="1" applyBorder="1" applyAlignment="1">
      <alignment horizontal="left"/>
    </xf>
    <xf numFmtId="0" fontId="0" fillId="15" borderId="1" xfId="0" applyFont="1" applyFill="1" applyBorder="1" applyAlignment="1" applyProtection="1">
      <alignment horizontal="center"/>
    </xf>
    <xf numFmtId="0" fontId="20" fillId="0" borderId="0" xfId="0" applyFont="1"/>
    <xf numFmtId="0" fontId="0" fillId="7" borderId="1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13" fillId="0" borderId="0" xfId="0" applyNumberFormat="1" applyFont="1" applyFill="1" applyBorder="1" applyAlignment="1" applyProtection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2" fillId="5" borderId="20" xfId="0" applyFont="1" applyFill="1" applyBorder="1" applyAlignment="1">
      <alignment horizontal="center"/>
    </xf>
    <xf numFmtId="0" fontId="12" fillId="7" borderId="19" xfId="0" applyFont="1" applyFill="1" applyBorder="1" applyAlignment="1">
      <alignment horizontal="center"/>
    </xf>
    <xf numFmtId="0" fontId="17" fillId="0" borderId="0" xfId="0" applyFont="1" applyFill="1" applyAlignment="1">
      <alignment horizontal="center" textRotation="255"/>
    </xf>
    <xf numFmtId="0" fontId="12" fillId="11" borderId="21" xfId="0" applyFont="1" applyFill="1" applyBorder="1" applyAlignment="1">
      <alignment horizontal="center"/>
    </xf>
    <xf numFmtId="0" fontId="12" fillId="5" borderId="22" xfId="0" applyFont="1" applyFill="1" applyBorder="1" applyAlignment="1">
      <alignment horizontal="center"/>
    </xf>
    <xf numFmtId="0" fontId="0" fillId="14" borderId="1" xfId="0" applyFont="1" applyFill="1" applyBorder="1" applyAlignment="1" applyProtection="1">
      <alignment horizontal="center"/>
    </xf>
    <xf numFmtId="0" fontId="16" fillId="9" borderId="1" xfId="0" applyFont="1" applyFill="1" applyBorder="1" applyAlignment="1" applyProtection="1">
      <alignment horizontal="center"/>
    </xf>
    <xf numFmtId="0" fontId="0" fillId="0" borderId="0" xfId="0" applyFill="1"/>
    <xf numFmtId="0" fontId="21" fillId="17" borderId="0" xfId="0" applyFont="1" applyFill="1" applyBorder="1" applyAlignment="1" applyProtection="1">
      <alignment horizontal="center"/>
      <protection locked="0"/>
    </xf>
    <xf numFmtId="164" fontId="22" fillId="17" borderId="0" xfId="0" applyNumberFormat="1" applyFont="1" applyFill="1" applyBorder="1" applyAlignment="1">
      <alignment horizontal="center"/>
    </xf>
    <xf numFmtId="165" fontId="22" fillId="6" borderId="0" xfId="0" applyNumberFormat="1" applyFont="1" applyFill="1" applyBorder="1" applyAlignment="1">
      <alignment horizontal="center"/>
    </xf>
    <xf numFmtId="0" fontId="0" fillId="12" borderId="2" xfId="0" applyNumberFormat="1" applyFont="1" applyFill="1" applyBorder="1" applyAlignment="1">
      <alignment horizontal="left"/>
    </xf>
    <xf numFmtId="0" fontId="0" fillId="14" borderId="16" xfId="0" applyNumberFormat="1" applyFont="1" applyFill="1" applyBorder="1" applyAlignment="1">
      <alignment horizontal="left"/>
    </xf>
    <xf numFmtId="0" fontId="0" fillId="6" borderId="16" xfId="0" applyNumberFormat="1" applyFont="1" applyFill="1" applyBorder="1" applyAlignment="1">
      <alignment horizontal="right"/>
    </xf>
    <xf numFmtId="0" fontId="23" fillId="3" borderId="24" xfId="0" applyNumberFormat="1" applyFont="1" applyFill="1" applyBorder="1" applyAlignment="1">
      <alignment horizontal="left"/>
    </xf>
    <xf numFmtId="0" fontId="23" fillId="5" borderId="25" xfId="0" applyFont="1" applyFill="1" applyBorder="1" applyAlignment="1">
      <alignment horizontal="right"/>
    </xf>
    <xf numFmtId="0" fontId="0" fillId="7" borderId="1" xfId="0" applyNumberFormat="1" applyFont="1" applyFill="1" applyBorder="1" applyAlignment="1">
      <alignment horizontal="left"/>
    </xf>
    <xf numFmtId="0" fontId="0" fillId="6" borderId="7" xfId="0" applyNumberFormat="1" applyFont="1" applyFill="1" applyBorder="1" applyAlignment="1">
      <alignment horizontal="left"/>
    </xf>
    <xf numFmtId="0" fontId="17" fillId="2" borderId="1" xfId="0" applyFont="1" applyFill="1" applyBorder="1" applyAlignment="1" applyProtection="1">
      <alignment horizontal="center"/>
    </xf>
    <xf numFmtId="0" fontId="0" fillId="18" borderId="1" xfId="0" applyNumberFormat="1" applyFont="1" applyFill="1" applyBorder="1" applyAlignment="1">
      <alignment horizontal="left" vertical="center"/>
    </xf>
    <xf numFmtId="0" fontId="0" fillId="18" borderId="1" xfId="0" applyNumberFormat="1" applyFont="1" applyFill="1" applyBorder="1" applyAlignment="1">
      <alignment horizontal="left"/>
    </xf>
    <xf numFmtId="0" fontId="18" fillId="18" borderId="1" xfId="0" applyFont="1" applyFill="1" applyBorder="1" applyAlignment="1">
      <alignment horizontal="right"/>
    </xf>
    <xf numFmtId="0" fontId="0" fillId="18" borderId="1" xfId="0" applyNumberFormat="1" applyFont="1" applyFill="1" applyBorder="1" applyAlignment="1">
      <alignment horizontal="right"/>
    </xf>
    <xf numFmtId="0" fontId="0" fillId="10" borderId="1" xfId="0" applyFont="1" applyFill="1" applyBorder="1" applyAlignment="1">
      <alignment horizontal="right"/>
    </xf>
    <xf numFmtId="0" fontId="0" fillId="0" borderId="26" xfId="0" applyBorder="1"/>
    <xf numFmtId="0" fontId="1" fillId="2" borderId="27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  <protection locked="0"/>
    </xf>
    <xf numFmtId="0" fontId="4" fillId="2" borderId="27" xfId="0" applyFont="1" applyFill="1" applyBorder="1" applyAlignment="1" applyProtection="1">
      <alignment horizontal="center"/>
      <protection locked="0"/>
    </xf>
    <xf numFmtId="0" fontId="4" fillId="0" borderId="27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5" fillId="0" borderId="31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2" fontId="0" fillId="0" borderId="0" xfId="0" applyNumberFormat="1" applyBorder="1"/>
    <xf numFmtId="0" fontId="0" fillId="0" borderId="33" xfId="0" applyBorder="1"/>
    <xf numFmtId="0" fontId="0" fillId="7" borderId="30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3" fillId="8" borderId="30" xfId="0" applyFont="1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4" borderId="35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5" borderId="35" xfId="0" applyFill="1" applyBorder="1" applyAlignment="1">
      <alignment horizontal="center"/>
    </xf>
    <xf numFmtId="0" fontId="7" fillId="11" borderId="36" xfId="0" applyFont="1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7" fillId="8" borderId="37" xfId="0" applyFont="1" applyFill="1" applyBorder="1" applyAlignment="1">
      <alignment horizontal="center"/>
    </xf>
    <xf numFmtId="0" fontId="7" fillId="8" borderId="36" xfId="0" applyFont="1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7" borderId="41" xfId="0" applyFill="1" applyBorder="1" applyAlignment="1">
      <alignment horizontal="center"/>
    </xf>
    <xf numFmtId="0" fontId="0" fillId="7" borderId="36" xfId="0" applyFont="1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0" fillId="5" borderId="42" xfId="0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4" borderId="44" xfId="0" applyFill="1" applyBorder="1" applyAlignment="1">
      <alignment horizontal="center"/>
    </xf>
    <xf numFmtId="2" fontId="24" fillId="17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Fill="1"/>
    <xf numFmtId="0" fontId="20" fillId="0" borderId="0" xfId="0" applyFont="1" applyAlignment="1">
      <alignment vertical="center"/>
    </xf>
    <xf numFmtId="0" fontId="30" fillId="2" borderId="15" xfId="0" applyFont="1" applyFill="1" applyBorder="1"/>
    <xf numFmtId="0" fontId="30" fillId="2" borderId="45" xfId="0" applyFont="1" applyFill="1" applyBorder="1"/>
    <xf numFmtId="0" fontId="20" fillId="0" borderId="45" xfId="0" applyFont="1" applyBorder="1"/>
    <xf numFmtId="0" fontId="20" fillId="0" borderId="46" xfId="0" applyFont="1" applyBorder="1"/>
    <xf numFmtId="0" fontId="20" fillId="0" borderId="47" xfId="0" applyFont="1" applyFill="1" applyBorder="1"/>
    <xf numFmtId="0" fontId="20" fillId="0" borderId="0" xfId="0" applyFont="1" applyBorder="1"/>
    <xf numFmtId="0" fontId="20" fillId="0" borderId="48" xfId="0" applyFont="1" applyBorder="1"/>
    <xf numFmtId="0" fontId="26" fillId="0" borderId="47" xfId="0" applyFont="1" applyFill="1" applyBorder="1" applyAlignment="1">
      <alignment vertical="center"/>
    </xf>
    <xf numFmtId="0" fontId="32" fillId="0" borderId="0" xfId="0" applyFont="1" applyBorder="1"/>
    <xf numFmtId="0" fontId="0" fillId="0" borderId="47" xfId="0" applyFill="1" applyBorder="1" applyAlignment="1">
      <alignment vertical="center"/>
    </xf>
    <xf numFmtId="0" fontId="25" fillId="0" borderId="47" xfId="0" applyFont="1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48" xfId="0" applyFont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0" fillId="0" borderId="49" xfId="0" applyFont="1" applyFill="1" applyBorder="1"/>
    <xf numFmtId="0" fontId="20" fillId="0" borderId="50" xfId="0" applyFont="1" applyBorder="1"/>
    <xf numFmtId="0" fontId="20" fillId="0" borderId="51" xfId="0" applyFont="1" applyBorder="1"/>
    <xf numFmtId="0" fontId="31" fillId="0" borderId="0" xfId="1" applyFill="1" applyBorder="1" applyAlignment="1">
      <alignment vertical="center"/>
    </xf>
    <xf numFmtId="0" fontId="34" fillId="0" borderId="47" xfId="0" applyFont="1" applyFill="1" applyBorder="1"/>
    <xf numFmtId="0" fontId="35" fillId="0" borderId="0" xfId="0" applyFont="1" applyBorder="1"/>
    <xf numFmtId="0" fontId="35" fillId="0" borderId="48" xfId="0" applyFont="1" applyBorder="1"/>
    <xf numFmtId="0" fontId="22" fillId="2" borderId="27" xfId="0" applyFont="1" applyFill="1" applyBorder="1" applyAlignment="1" applyProtection="1">
      <alignment horizontal="center"/>
      <protection locked="0"/>
    </xf>
    <xf numFmtId="0" fontId="35" fillId="0" borderId="0" xfId="0" applyFont="1" applyBorder="1" applyAlignment="1">
      <alignment vertical="center"/>
    </xf>
    <xf numFmtId="0" fontId="35" fillId="0" borderId="47" xfId="0" applyFont="1" applyFill="1" applyBorder="1"/>
    <xf numFmtId="0" fontId="36" fillId="0" borderId="47" xfId="0" applyFont="1" applyFill="1" applyBorder="1" applyAlignment="1">
      <alignment vertical="center"/>
    </xf>
    <xf numFmtId="0" fontId="20" fillId="0" borderId="15" xfId="0" applyFont="1" applyFill="1" applyBorder="1"/>
    <xf numFmtId="0" fontId="4" fillId="0" borderId="52" xfId="0" applyFont="1" applyFill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53" xfId="0" applyBorder="1"/>
    <xf numFmtId="0" fontId="0" fillId="0" borderId="54" xfId="0" applyBorder="1"/>
    <xf numFmtId="0" fontId="4" fillId="17" borderId="55" xfId="0" applyFont="1" applyFill="1" applyBorder="1" applyAlignment="1">
      <alignment horizontal="center"/>
    </xf>
    <xf numFmtId="0" fontId="4" fillId="17" borderId="56" xfId="0" applyFont="1" applyFill="1" applyBorder="1" applyAlignment="1">
      <alignment horizontal="center"/>
    </xf>
    <xf numFmtId="0" fontId="4" fillId="6" borderId="56" xfId="0" applyFont="1" applyFill="1" applyBorder="1" applyAlignment="1">
      <alignment horizontal="center"/>
    </xf>
    <xf numFmtId="0" fontId="38" fillId="0" borderId="1" xfId="0" applyFont="1" applyBorder="1"/>
    <xf numFmtId="0" fontId="38" fillId="0" borderId="12" xfId="0" applyFont="1" applyFill="1" applyBorder="1"/>
    <xf numFmtId="0" fontId="38" fillId="15" borderId="1" xfId="0" applyFont="1" applyFill="1" applyBorder="1"/>
    <xf numFmtId="0" fontId="38" fillId="0" borderId="1" xfId="0" applyFont="1" applyFill="1" applyBorder="1"/>
    <xf numFmtId="0" fontId="38" fillId="0" borderId="2" xfId="0" applyFont="1" applyBorder="1"/>
    <xf numFmtId="0" fontId="38" fillId="0" borderId="2" xfId="0" applyNumberFormat="1" applyFont="1" applyBorder="1"/>
    <xf numFmtId="0" fontId="1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1" borderId="1" xfId="0" applyFont="1" applyFill="1" applyBorder="1" applyAlignment="1">
      <alignment horizontal="right"/>
    </xf>
    <xf numFmtId="0" fontId="0" fillId="21" borderId="23" xfId="0" applyFont="1" applyFill="1" applyBorder="1" applyAlignment="1">
      <alignment horizontal="right"/>
    </xf>
    <xf numFmtId="0" fontId="0" fillId="5" borderId="0" xfId="0" applyFill="1" applyBorder="1" applyAlignment="1">
      <alignment horizontal="center"/>
    </xf>
    <xf numFmtId="0" fontId="36" fillId="5" borderId="47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6" fillId="0" borderId="47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/>
    </xf>
    <xf numFmtId="0" fontId="20" fillId="0" borderId="48" xfId="0" applyFont="1" applyBorder="1" applyAlignment="1">
      <alignment horizontal="left"/>
    </xf>
    <xf numFmtId="0" fontId="20" fillId="0" borderId="0" xfId="0" applyFont="1" applyBorder="1" applyAlignment="1">
      <alignment horizontal="left" vertical="center"/>
    </xf>
    <xf numFmtId="0" fontId="20" fillId="0" borderId="48" xfId="0" applyFont="1" applyBorder="1" applyAlignment="1">
      <alignment horizontal="left" vertical="center"/>
    </xf>
    <xf numFmtId="0" fontId="22" fillId="17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2" fontId="40" fillId="17" borderId="0" xfId="0" applyNumberFormat="1" applyFont="1" applyFill="1" applyBorder="1" applyAlignment="1">
      <alignment horizontal="center"/>
    </xf>
    <xf numFmtId="0" fontId="41" fillId="17" borderId="0" xfId="0" applyFont="1" applyFill="1" applyBorder="1" applyAlignment="1" applyProtection="1">
      <alignment horizontal="center"/>
      <protection locked="0"/>
    </xf>
    <xf numFmtId="164" fontId="40" fillId="17" borderId="0" xfId="0" applyNumberFormat="1" applyFont="1" applyFill="1" applyBorder="1" applyAlignment="1">
      <alignment horizontal="center"/>
    </xf>
    <xf numFmtId="0" fontId="40" fillId="17" borderId="0" xfId="0" applyFont="1" applyFill="1" applyBorder="1" applyAlignment="1" applyProtection="1">
      <alignment horizontal="center"/>
    </xf>
    <xf numFmtId="0" fontId="40" fillId="17" borderId="0" xfId="0" applyNumberFormat="1" applyFont="1" applyFill="1" applyBorder="1" applyAlignment="1" applyProtection="1">
      <alignment horizontal="center"/>
    </xf>
    <xf numFmtId="2" fontId="40" fillId="17" borderId="33" xfId="0" applyNumberFormat="1" applyFont="1" applyFill="1" applyBorder="1" applyAlignment="1">
      <alignment horizontal="center"/>
    </xf>
    <xf numFmtId="0" fontId="41" fillId="17" borderId="33" xfId="0" applyFont="1" applyFill="1" applyBorder="1" applyAlignment="1" applyProtection="1">
      <alignment horizontal="center"/>
      <protection locked="0"/>
    </xf>
    <xf numFmtId="0" fontId="40" fillId="17" borderId="33" xfId="0" applyNumberFormat="1" applyFont="1" applyFill="1" applyBorder="1" applyAlignment="1" applyProtection="1">
      <alignment horizontal="center"/>
      <protection locked="0"/>
    </xf>
    <xf numFmtId="165" fontId="42" fillId="6" borderId="0" xfId="0" applyNumberFormat="1" applyFont="1" applyFill="1" applyBorder="1" applyAlignment="1">
      <alignment horizontal="center"/>
    </xf>
    <xf numFmtId="165" fontId="42" fillId="6" borderId="33" xfId="0" applyNumberFormat="1" applyFont="1" applyFill="1" applyBorder="1" applyAlignment="1">
      <alignment horizontal="center"/>
    </xf>
    <xf numFmtId="0" fontId="4" fillId="4" borderId="57" xfId="0" applyFont="1" applyFill="1" applyBorder="1" applyAlignment="1">
      <alignment horizontal="center"/>
    </xf>
    <xf numFmtId="165" fontId="22" fillId="4" borderId="18" xfId="0" applyNumberFormat="1" applyFont="1" applyFill="1" applyBorder="1" applyAlignment="1">
      <alignment horizontal="center"/>
    </xf>
    <xf numFmtId="165" fontId="24" fillId="4" borderId="18" xfId="0" applyNumberFormat="1" applyFont="1" applyFill="1" applyBorder="1" applyAlignment="1">
      <alignment horizontal="center"/>
    </xf>
    <xf numFmtId="165" fontId="24" fillId="4" borderId="16" xfId="0" applyNumberFormat="1" applyFont="1" applyFill="1" applyBorder="1" applyAlignment="1">
      <alignment horizontal="center"/>
    </xf>
    <xf numFmtId="0" fontId="43" fillId="0" borderId="0" xfId="0" applyFont="1" applyFill="1" applyBorder="1" applyAlignment="1" applyProtection="1">
      <alignment horizontal="center"/>
      <protection locked="0"/>
    </xf>
    <xf numFmtId="0" fontId="0" fillId="20" borderId="0" xfId="0" applyFont="1" applyFill="1" applyBorder="1" applyAlignment="1" applyProtection="1">
      <alignment horizontal="center"/>
    </xf>
    <xf numFmtId="0" fontId="0" fillId="19" borderId="0" xfId="0" applyFont="1" applyFill="1" applyAlignment="1" applyProtection="1">
      <alignment horizontal="center"/>
    </xf>
    <xf numFmtId="0" fontId="17" fillId="2" borderId="2" xfId="0" applyFont="1" applyFill="1" applyBorder="1" applyAlignment="1">
      <alignment horizontal="right"/>
    </xf>
    <xf numFmtId="0" fontId="4" fillId="2" borderId="29" xfId="0" applyFont="1" applyFill="1" applyBorder="1" applyAlignment="1">
      <alignment horizontal="center" textRotation="255"/>
    </xf>
    <xf numFmtId="0" fontId="4" fillId="2" borderId="32" xfId="0" applyFont="1" applyFill="1" applyBorder="1" applyAlignment="1">
      <alignment horizontal="center" textRotation="255"/>
    </xf>
    <xf numFmtId="0" fontId="4" fillId="2" borderId="26" xfId="0" applyFont="1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4" fillId="2" borderId="27" xfId="0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2" borderId="31" xfId="0" applyFont="1" applyFill="1" applyBorder="1" applyAlignment="1">
      <alignment horizontal="center" textRotation="255"/>
    </xf>
    <xf numFmtId="0" fontId="4" fillId="2" borderId="31" xfId="0" applyFont="1" applyFill="1" applyBorder="1" applyAlignment="1">
      <alignment horizontal="center" textRotation="255"/>
    </xf>
  </cellXfs>
  <cellStyles count="2">
    <cellStyle name="Lien hypertexte" xfId="1" builtinId="8"/>
    <cellStyle name="Normal" xfId="0" builtinId="0"/>
  </cellStyles>
  <dxfs count="5"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0303"/>
      <color rgb="FFFD947F"/>
      <color rgb="FF079D39"/>
      <color rgb="FF53F3A7"/>
      <color rgb="FF09BF46"/>
      <color rgb="FFFEACAC"/>
      <color rgb="FF44546A"/>
      <color rgb="FFDB55A2"/>
      <color rgb="FFFF3300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ejahmal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S37"/>
  <sheetViews>
    <sheetView tabSelected="1" zoomScale="90" zoomScaleNormal="90" workbookViewId="0">
      <selection activeCell="I2" sqref="I2"/>
    </sheetView>
  </sheetViews>
  <sheetFormatPr baseColWidth="10" defaultRowHeight="15" x14ac:dyDescent="0.25"/>
  <cols>
    <col min="1" max="1" width="2.140625" customWidth="1"/>
    <col min="2" max="2" width="5.140625" customWidth="1"/>
    <col min="3" max="3" width="21.5703125" customWidth="1"/>
    <col min="4" max="4" width="16.5703125" customWidth="1"/>
    <col min="5" max="5" width="18.7109375" customWidth="1"/>
    <col min="6" max="6" width="16.7109375" customWidth="1"/>
    <col min="7" max="7" width="18.140625" customWidth="1"/>
    <col min="8" max="8" width="18.7109375" customWidth="1"/>
    <col min="9" max="9" width="18" customWidth="1"/>
    <col min="10" max="10" width="12.85546875" customWidth="1"/>
    <col min="11" max="11" width="11.7109375" customWidth="1"/>
    <col min="12" max="12" width="16.140625" customWidth="1"/>
    <col min="13" max="13" width="15.140625" customWidth="1"/>
    <col min="14" max="14" width="2" style="85" customWidth="1"/>
    <col min="15" max="15" width="2.85546875" customWidth="1"/>
    <col min="16" max="16" width="4.7109375" customWidth="1"/>
    <col min="17" max="18" width="14.5703125" customWidth="1"/>
    <col min="19" max="19" width="13.42578125" customWidth="1"/>
    <col min="20" max="20" width="4.7109375" customWidth="1"/>
    <col min="27" max="27" width="13.7109375" customWidth="1"/>
    <col min="28" max="28" width="13.5703125" customWidth="1"/>
    <col min="29" max="29" width="12" customWidth="1"/>
  </cols>
  <sheetData>
    <row r="1" spans="1:19" ht="15.75" thickBot="1" x14ac:dyDescent="0.3"/>
    <row r="2" spans="1:19" ht="15.75" x14ac:dyDescent="0.25">
      <c r="B2" s="102"/>
      <c r="C2" s="104" t="s">
        <v>166</v>
      </c>
      <c r="D2" s="103" t="str">
        <f>IF(ABS(H9)&lt;=0.1,"STATIC","NOT STATIC")</f>
        <v>NOT STATIC</v>
      </c>
      <c r="E2" s="171" t="s">
        <v>164</v>
      </c>
      <c r="F2" s="104" t="s">
        <v>167</v>
      </c>
      <c r="G2" s="105" t="s">
        <v>165</v>
      </c>
      <c r="H2" s="105">
        <v>2</v>
      </c>
      <c r="I2" s="105" t="s">
        <v>168</v>
      </c>
      <c r="J2" s="106"/>
      <c r="K2" s="106"/>
      <c r="L2" s="230" t="s">
        <v>0</v>
      </c>
      <c r="M2" s="231"/>
      <c r="N2" s="110"/>
      <c r="O2" s="26"/>
      <c r="P2" s="26"/>
      <c r="Q2" s="227" t="s">
        <v>30</v>
      </c>
      <c r="R2" s="228"/>
      <c r="S2" s="229"/>
    </row>
    <row r="3" spans="1:19" x14ac:dyDescent="0.25">
      <c r="B3" s="107"/>
      <c r="C3" s="20"/>
      <c r="D3" s="20"/>
      <c r="E3" s="20"/>
      <c r="F3" s="20"/>
      <c r="G3" s="20"/>
      <c r="H3" s="20"/>
      <c r="I3" s="20"/>
      <c r="J3" s="20"/>
      <c r="K3" s="20"/>
      <c r="L3" s="20"/>
      <c r="M3" s="108"/>
      <c r="N3" s="25"/>
      <c r="Q3" s="107"/>
      <c r="R3" s="20"/>
      <c r="S3" s="108"/>
    </row>
    <row r="4" spans="1:19" ht="15.75" thickBot="1" x14ac:dyDescent="0.3">
      <c r="B4" s="109"/>
      <c r="C4" s="1" t="s">
        <v>26</v>
      </c>
      <c r="D4" s="2" t="s">
        <v>1</v>
      </c>
      <c r="E4" s="20"/>
      <c r="F4" s="3" t="s">
        <v>33</v>
      </c>
      <c r="G4" s="232" t="s">
        <v>27</v>
      </c>
      <c r="H4" s="233"/>
      <c r="I4" s="4"/>
      <c r="J4" s="5"/>
      <c r="K4" s="20"/>
      <c r="L4" s="76">
        <f>IF(C2="P",Q4,S4)</f>
        <v>5.37</v>
      </c>
      <c r="M4" s="108"/>
      <c r="N4" s="25"/>
      <c r="O4" s="222" t="str">
        <f>IF(C2="P",IF(D2="STATIC",IF(D5&gt;D6,"▼",""),IF(D5&gt;D6,"","▼")),IF(D2="STATIC",IF(D6&gt;D5,"▼",""),IF(D6&gt;D5,"","▼")))</f>
        <v/>
      </c>
      <c r="Q4" s="120">
        <f>D5</f>
        <v>-2.35</v>
      </c>
      <c r="R4" s="69"/>
      <c r="S4" s="121">
        <f>D6</f>
        <v>5.37</v>
      </c>
    </row>
    <row r="5" spans="1:19" ht="21.75" thickBot="1" x14ac:dyDescent="0.4">
      <c r="B5" s="234" t="s">
        <v>2</v>
      </c>
      <c r="C5" s="42" t="s">
        <v>130</v>
      </c>
      <c r="D5" s="6">
        <v>-2.35</v>
      </c>
      <c r="E5" s="7"/>
      <c r="F5" s="8" t="s">
        <v>161</v>
      </c>
      <c r="G5" s="9" t="str">
        <f>TEXT(H19&amp;" | "&amp;F18,0)</f>
        <v>5,01 | 4,93</v>
      </c>
      <c r="H5" s="10">
        <f>ABS(H19-F18)</f>
        <v>8.0000000000000071E-2</v>
      </c>
      <c r="I5" s="11"/>
      <c r="J5" s="12"/>
      <c r="K5" s="20"/>
      <c r="L5" s="74" t="str">
        <f>IF(C2="P",Q5,TEXT( S5 &amp;" | " &amp;G19,"0,00"))</f>
        <v>4,93 | 5,13</v>
      </c>
      <c r="M5" s="108"/>
      <c r="N5" s="25"/>
      <c r="O5" s="203"/>
      <c r="Q5" s="120">
        <f>H14</f>
        <v>-1.89</v>
      </c>
      <c r="R5" s="69"/>
      <c r="S5" s="122">
        <f>F18</f>
        <v>4.93</v>
      </c>
    </row>
    <row r="6" spans="1:19" ht="21" x14ac:dyDescent="0.35">
      <c r="B6" s="234"/>
      <c r="C6" s="43" t="s">
        <v>131</v>
      </c>
      <c r="D6" s="6">
        <v>5.37</v>
      </c>
      <c r="E6" s="7"/>
      <c r="F6" s="13"/>
      <c r="G6" s="3" t="str">
        <f>TEXT(" AOPV  | " &amp;ROUNDDOWN((((G15/F15)*100)-100),H2)&amp;" % ","0,00")</f>
        <v xml:space="preserve"> AOPV  | 37,2 % </v>
      </c>
      <c r="H6" s="38">
        <f>ABS(ROUNDDOWN(IF(C2="P",(F15-G15),(G15-F15)),H2))</f>
        <v>0.16</v>
      </c>
      <c r="I6" s="14"/>
      <c r="J6" s="15"/>
      <c r="K6" s="20"/>
      <c r="L6" s="76" t="str">
        <f>IF(C2="P",Q6,S6)</f>
        <v>BRK|4,33</v>
      </c>
      <c r="M6" s="108"/>
      <c r="N6" s="25"/>
      <c r="O6" s="206"/>
      <c r="Q6" s="120">
        <f>G14</f>
        <v>-1.3499999999999996</v>
      </c>
      <c r="R6" s="69"/>
      <c r="S6" s="123" t="str">
        <f>I14</f>
        <v>BRK|4,33</v>
      </c>
    </row>
    <row r="7" spans="1:19" x14ac:dyDescent="0.25">
      <c r="B7" s="234"/>
      <c r="C7" s="183" t="s">
        <v>3</v>
      </c>
      <c r="D7" s="184">
        <f>D5-D6</f>
        <v>-7.7200000000000006</v>
      </c>
      <c r="E7" s="20"/>
      <c r="F7" s="16"/>
      <c r="G7" s="17" t="s">
        <v>4</v>
      </c>
      <c r="H7" s="18">
        <f>IF(E2="BRK",D5-ROUNDDOWN((F18+G18)/2,H2),IF(E2="AOP",D5-F15,IF(E2="GAP",D5-F16,IF(E2="COR",D5-((D16+G14)/2),IF(E2="382+",D5-((G17+D8)/2),IF(E2="0+",D5-G14,D5-F15))))))</f>
        <v>-1.0000000000000004</v>
      </c>
      <c r="I7" s="14"/>
      <c r="J7" s="19"/>
      <c r="K7" s="20"/>
      <c r="L7" s="75" t="str">
        <f>IF(C2="P",Q7,S7)</f>
        <v>236+|3,93</v>
      </c>
      <c r="M7" s="108"/>
      <c r="N7" s="25"/>
      <c r="O7" s="204"/>
      <c r="Q7" s="124">
        <f>D15</f>
        <v>-0.95</v>
      </c>
      <c r="R7" s="69"/>
      <c r="S7" s="125" t="str">
        <f>I15</f>
        <v>236+|3,93</v>
      </c>
    </row>
    <row r="8" spans="1:19" x14ac:dyDescent="0.25">
      <c r="A8" s="20"/>
      <c r="B8" s="234"/>
      <c r="C8" s="185" t="s">
        <v>5</v>
      </c>
      <c r="D8" s="185">
        <f>E16</f>
        <v>3.54</v>
      </c>
      <c r="E8" s="20"/>
      <c r="F8" s="20"/>
      <c r="G8" s="3" t="s">
        <v>6</v>
      </c>
      <c r="H8" s="21">
        <f>D5-H10</f>
        <v>-6.7100000000000009</v>
      </c>
      <c r="I8" s="22"/>
      <c r="J8" s="19"/>
      <c r="K8" s="20"/>
      <c r="L8" s="77">
        <f>IF(C2="P",Q8,S8)</f>
        <v>3.74</v>
      </c>
      <c r="M8" s="108"/>
      <c r="N8" s="25"/>
      <c r="O8" s="206"/>
      <c r="Q8" s="126" t="str">
        <f>S23</f>
        <v>COR|-0,72</v>
      </c>
      <c r="R8" s="69"/>
      <c r="S8" s="122">
        <f>Q23</f>
        <v>3.74</v>
      </c>
    </row>
    <row r="9" spans="1:19" ht="17.25" customHeight="1" x14ac:dyDescent="0.25">
      <c r="A9" s="20"/>
      <c r="B9" s="234"/>
      <c r="C9" s="183" t="s">
        <v>7</v>
      </c>
      <c r="D9" s="186">
        <f>D5-D8</f>
        <v>-5.8900000000000006</v>
      </c>
      <c r="E9" s="20"/>
      <c r="F9" s="20"/>
      <c r="G9" s="3" t="s">
        <v>8</v>
      </c>
      <c r="H9" s="23">
        <f>ROUNDDOWN(H8-H7,H2)</f>
        <v>-5.71</v>
      </c>
      <c r="I9" s="22" t="s">
        <v>32</v>
      </c>
      <c r="J9" s="20"/>
      <c r="K9" s="20"/>
      <c r="L9" s="74" t="str">
        <f>IF(C2="P",Q9,S9)</f>
        <v>BASE|3,54</v>
      </c>
      <c r="M9" s="108"/>
      <c r="N9" s="25"/>
      <c r="Q9" s="127" t="str">
        <f>S22</f>
        <v>BASE+|-0,525</v>
      </c>
      <c r="R9" s="69"/>
      <c r="S9" s="121" t="str">
        <f>I20</f>
        <v>BASE|3,54</v>
      </c>
    </row>
    <row r="10" spans="1:19" ht="18.75" x14ac:dyDescent="0.3">
      <c r="A10" s="20"/>
      <c r="B10" s="234"/>
      <c r="C10" s="187" t="s">
        <v>9</v>
      </c>
      <c r="D10" s="188">
        <f>ROUNDDOWN((G15-F19)/(1-0.236),H2)</f>
        <v>-8.25</v>
      </c>
      <c r="E10" s="20" t="s">
        <v>32</v>
      </c>
      <c r="F10" s="20"/>
      <c r="G10" s="3" t="s">
        <v>28</v>
      </c>
      <c r="H10" s="37">
        <v>4.3600000000000003</v>
      </c>
      <c r="I10" s="20"/>
      <c r="J10" s="20"/>
      <c r="K10" s="20"/>
      <c r="L10" s="74" t="str">
        <f>IF(C2="P",Q10,S10)</f>
        <v>382+| 3,15</v>
      </c>
      <c r="M10" s="108"/>
      <c r="N10" s="25"/>
      <c r="O10" s="206"/>
      <c r="Q10" s="128">
        <f>D16</f>
        <v>-0.1</v>
      </c>
      <c r="R10" s="69"/>
      <c r="S10" s="129" t="str">
        <f>I16</f>
        <v>382+| 3,15</v>
      </c>
    </row>
    <row r="11" spans="1:19" ht="15.75" thickBot="1" x14ac:dyDescent="0.3">
      <c r="A11" s="20"/>
      <c r="B11" s="107"/>
      <c r="C11" s="24"/>
      <c r="D11" s="24"/>
      <c r="E11" s="20"/>
      <c r="F11" s="20"/>
      <c r="G11" s="20"/>
      <c r="H11" s="20"/>
      <c r="I11" s="20"/>
      <c r="J11" s="25"/>
      <c r="K11" s="20"/>
      <c r="L11" s="193">
        <f>IF(C2="P",Q11,S11)</f>
        <v>2.77</v>
      </c>
      <c r="M11" s="108"/>
      <c r="N11" s="25"/>
      <c r="O11" s="204" t="s">
        <v>31</v>
      </c>
      <c r="Q11" s="124">
        <f>H15</f>
        <v>0.18</v>
      </c>
      <c r="R11" s="69"/>
      <c r="S11" s="121">
        <f>G17</f>
        <v>2.77</v>
      </c>
    </row>
    <row r="12" spans="1:19" ht="19.5" thickBot="1" x14ac:dyDescent="0.35">
      <c r="A12" s="20"/>
      <c r="B12" s="107"/>
      <c r="C12" s="20"/>
      <c r="D12" s="20"/>
      <c r="E12" s="20"/>
      <c r="F12" s="20"/>
      <c r="G12" s="110"/>
      <c r="H12" s="20"/>
      <c r="I12" s="20"/>
      <c r="J12" s="20"/>
      <c r="K12" s="20"/>
      <c r="L12" s="79">
        <f>IF(C2="P",F15,S12)</f>
        <v>2.5</v>
      </c>
      <c r="M12" s="78">
        <f>IF(C2="P",Q13,D19)</f>
        <v>2.27</v>
      </c>
      <c r="N12" s="189"/>
      <c r="Q12" s="124">
        <f>F15</f>
        <v>0.43</v>
      </c>
      <c r="R12" s="69"/>
      <c r="S12" s="121">
        <f>H17</f>
        <v>2.5</v>
      </c>
    </row>
    <row r="13" spans="1:19" ht="15.75" x14ac:dyDescent="0.25">
      <c r="A13" s="20"/>
      <c r="B13" s="107"/>
      <c r="C13" s="27" t="s">
        <v>10</v>
      </c>
      <c r="D13" s="47" t="s">
        <v>11</v>
      </c>
      <c r="E13" s="48" t="s">
        <v>22</v>
      </c>
      <c r="F13" s="49" t="s">
        <v>21</v>
      </c>
      <c r="G13" s="50" t="s">
        <v>12</v>
      </c>
      <c r="H13" s="51" t="s">
        <v>13</v>
      </c>
      <c r="I13" s="29" t="s">
        <v>29</v>
      </c>
      <c r="J13" s="30"/>
      <c r="K13" s="20"/>
      <c r="L13" s="20"/>
      <c r="M13" s="113">
        <f>IF(C2="P",S17,Q17)</f>
        <v>2.14</v>
      </c>
      <c r="N13" s="15"/>
      <c r="Q13" s="130">
        <f>G15</f>
        <v>0.59</v>
      </c>
      <c r="R13" s="68">
        <f>D17</f>
        <v>0.59</v>
      </c>
      <c r="S13" s="131">
        <f>D19</f>
        <v>2.27</v>
      </c>
    </row>
    <row r="14" spans="1:19" ht="19.5" thickBot="1" x14ac:dyDescent="0.35">
      <c r="A14" s="20"/>
      <c r="B14" s="235" t="s">
        <v>127</v>
      </c>
      <c r="C14" s="28">
        <v>0</v>
      </c>
      <c r="D14" s="52">
        <f>D5</f>
        <v>-2.35</v>
      </c>
      <c r="E14" s="52">
        <f>D5</f>
        <v>-2.35</v>
      </c>
      <c r="F14" s="89">
        <f>D5</f>
        <v>-2.35</v>
      </c>
      <c r="G14" s="224">
        <f>F19+D10</f>
        <v>-1.3499999999999996</v>
      </c>
      <c r="H14" s="101">
        <f>ROUNDDOWN((((H18-F19)/(1-0.618))+F19),H2)</f>
        <v>-1.89</v>
      </c>
      <c r="I14" s="96" t="str">
        <f>TEXT("BRK|" &amp;ROUNDDOWN((F18+G18)/2,H2),"0,00")</f>
        <v>BRK|4,33</v>
      </c>
      <c r="J14" s="31"/>
      <c r="K14" s="20"/>
      <c r="L14" s="20"/>
      <c r="M14" s="114">
        <f>IF(C2="P",Q14,S14)</f>
        <v>1.8</v>
      </c>
      <c r="N14" s="15"/>
      <c r="O14" s="204"/>
      <c r="Q14" s="132">
        <f>E15</f>
        <v>1.29</v>
      </c>
      <c r="R14" s="72">
        <f>D18</f>
        <v>1.29</v>
      </c>
      <c r="S14" s="133">
        <f>G16</f>
        <v>1.8</v>
      </c>
    </row>
    <row r="15" spans="1:19" ht="19.5" customHeight="1" thickBot="1" x14ac:dyDescent="0.4">
      <c r="A15" s="20"/>
      <c r="B15" s="235"/>
      <c r="C15" s="28">
        <v>0.23599999999999999</v>
      </c>
      <c r="D15" s="94">
        <f>ROUNDDOWN((D5-(C15/1)*D9),H2)</f>
        <v>-0.95</v>
      </c>
      <c r="E15" s="95">
        <f>ROUNDDOWN((D5-(C15/0.5)*D7),H2)</f>
        <v>1.29</v>
      </c>
      <c r="F15" s="92">
        <f>ROUNDDOWN((D5-(C15/0.5)*D9),H2)</f>
        <v>0.43</v>
      </c>
      <c r="G15" s="93">
        <f>D17</f>
        <v>0.59</v>
      </c>
      <c r="H15" s="192">
        <f>ROUNDDOWN(H14-((C15/1)*(H14-F19)),H2)</f>
        <v>0.18</v>
      </c>
      <c r="I15" s="53" t="str">
        <f>TEXT("236+|" &amp;ROUNDDOWN((D8+(F18+G18)/2)/2,H2),"0,00")</f>
        <v>236+|3,93</v>
      </c>
      <c r="J15" s="32"/>
      <c r="K15" s="20"/>
      <c r="L15" s="20"/>
      <c r="M15" s="115">
        <f>Q15</f>
        <v>1.46</v>
      </c>
      <c r="N15" s="190"/>
      <c r="O15" s="204"/>
      <c r="Q15" s="134">
        <f>H16</f>
        <v>1.46</v>
      </c>
      <c r="R15" s="71">
        <f>H16</f>
        <v>1.46</v>
      </c>
      <c r="S15" s="135">
        <f>H16</f>
        <v>1.46</v>
      </c>
    </row>
    <row r="16" spans="1:19" x14ac:dyDescent="0.25">
      <c r="B16" s="235"/>
      <c r="C16" s="28">
        <v>0.38200000000000001</v>
      </c>
      <c r="D16" s="54">
        <f>ROUNDDOWN((D5-(C16/1)*D9),H2)</f>
        <v>-0.1</v>
      </c>
      <c r="E16" s="65">
        <f>ROUNDDOWN((D5-(C16/0.5)*D7),H2)</f>
        <v>3.54</v>
      </c>
      <c r="F16" s="90">
        <f>ROUNDDOWN((D5-(C16/0.5)*D9),H2)</f>
        <v>2.14</v>
      </c>
      <c r="G16" s="91">
        <f>ROUNDDOWN((F19+D10)-((C16/1)*D10),H2)</f>
        <v>1.8</v>
      </c>
      <c r="H16" s="55">
        <f>ROUNDDOWN(H14-((C16/1)*(H14-F19)),H2)</f>
        <v>1.46</v>
      </c>
      <c r="I16" s="45" t="str">
        <f>TEXT("382+| " &amp;ROUNDDOWN((G17+D8)/2,H2),"0,00")</f>
        <v>382+| 3,15</v>
      </c>
      <c r="J16" s="32"/>
      <c r="K16" s="20"/>
      <c r="L16" s="20"/>
      <c r="M16" s="116">
        <f>IF(C2="P",Q16,S16)</f>
        <v>1.29</v>
      </c>
      <c r="N16" s="15"/>
      <c r="O16" s="206"/>
      <c r="Q16" s="136">
        <f>S14</f>
        <v>1.8</v>
      </c>
      <c r="R16" s="5"/>
      <c r="S16" s="137">
        <f>Q14</f>
        <v>1.29</v>
      </c>
    </row>
    <row r="17" spans="1:19" ht="15.75" thickBot="1" x14ac:dyDescent="0.3">
      <c r="B17" s="235"/>
      <c r="C17" s="28">
        <v>0.5</v>
      </c>
      <c r="D17" s="56">
        <f>ROUNDDOWN((D5-(C17/1)*D9),H2)</f>
        <v>0.59</v>
      </c>
      <c r="E17" s="46">
        <f>ROUNDDOWN((D5-(C17/0.5)*D7),H2)</f>
        <v>5.37</v>
      </c>
      <c r="F17" s="65">
        <f>ROUNDDOWN((D5-(C17/0.5)*D9),H2)</f>
        <v>3.54</v>
      </c>
      <c r="G17" s="191">
        <f>ROUNDDOWN((F19+D10)-((C17/1)*D10),H2)</f>
        <v>2.77</v>
      </c>
      <c r="H17" s="57">
        <f>ROUNDDOWN(H14-((C17/1)*(H14-F19)),H2)</f>
        <v>2.5</v>
      </c>
      <c r="I17" s="83" t="str">
        <f>TEXT("GAP|" &amp;ROUNDDOWN((D17+D18)/2,H2),"0,00")</f>
        <v>GAP|0,94</v>
      </c>
      <c r="J17" s="33"/>
      <c r="K17" s="20"/>
      <c r="L17" s="20"/>
      <c r="M17" s="113" t="str">
        <f>IF(C2="P",Q17,S17)</f>
        <v>GAP|0,94</v>
      </c>
      <c r="N17" s="15"/>
      <c r="O17" s="204"/>
      <c r="Q17" s="127">
        <f>F16</f>
        <v>2.14</v>
      </c>
      <c r="R17" s="5"/>
      <c r="S17" s="138" t="str">
        <f>I17</f>
        <v>GAP|0,94</v>
      </c>
    </row>
    <row r="18" spans="1:19" ht="18.75" x14ac:dyDescent="0.3">
      <c r="B18" s="235"/>
      <c r="C18" s="28">
        <v>0.61799999999999999</v>
      </c>
      <c r="D18" s="58">
        <f>ROUNDDOWN((D5-(C18/1)*D9),H2)</f>
        <v>1.29</v>
      </c>
      <c r="E18" s="97">
        <f>ROUNDDOWN((D5-(C18/0.5)*D7),H2)</f>
        <v>7.19</v>
      </c>
      <c r="F18" s="44">
        <f>ROUNDDOWN((D5-(C18/0.5)*D9),H2)</f>
        <v>4.93</v>
      </c>
      <c r="G18" s="59">
        <f>ROUNDDOWN((F19+D10)-((C18/1)*D10),H2)</f>
        <v>3.74</v>
      </c>
      <c r="H18" s="63">
        <f>D8</f>
        <v>3.54</v>
      </c>
      <c r="I18" s="84" t="str">
        <f>TEXT("COR|" &amp;ROUNDDOWN((D16+G14)/2,H2),"0,00")</f>
        <v>COR|-0,72</v>
      </c>
      <c r="J18" s="34"/>
      <c r="K18" s="20"/>
      <c r="L18" s="20"/>
      <c r="M18" s="81">
        <f>IF(C2="P",Q18,S18)</f>
        <v>0.59</v>
      </c>
      <c r="N18" s="189"/>
      <c r="O18" s="204"/>
      <c r="Q18" s="139">
        <f>D19</f>
        <v>2.27</v>
      </c>
      <c r="R18" s="5"/>
      <c r="S18" s="121">
        <f>D17</f>
        <v>0.59</v>
      </c>
    </row>
    <row r="19" spans="1:19" ht="19.5" thickBot="1" x14ac:dyDescent="0.35">
      <c r="B19" s="235"/>
      <c r="C19" s="28">
        <v>0.78600000000000003</v>
      </c>
      <c r="D19" s="60">
        <f>ROUNDDOWN((D5-(C19/1)*D9),H2)</f>
        <v>2.27</v>
      </c>
      <c r="E19" s="64">
        <f>ROUNDDOWN((D5-(C19/0.5)*D7),H2)</f>
        <v>9.7799999999999994</v>
      </c>
      <c r="F19" s="98">
        <f>ROUNDDOWN((D5-(C19/0.5)*D9),H2)</f>
        <v>6.9</v>
      </c>
      <c r="G19" s="61">
        <f>ROUNDDOWN((F19+D10)-((C19/1)*D10),H2)</f>
        <v>5.13</v>
      </c>
      <c r="H19" s="62">
        <f>ROUNDDOWN(H14-((C19/1)*(H14-F19)),H2)</f>
        <v>5.01</v>
      </c>
      <c r="I19" s="66" t="str">
        <f>TEXT("BASE+|"&amp;IF(C2="P",((D16+G14)/2)+(G18-D8),((D16+G14)/2)-(D8-G18)),"0,00")</f>
        <v>BASE+|-0,525</v>
      </c>
      <c r="J19" s="35"/>
      <c r="K19" s="20"/>
      <c r="L19" s="20"/>
      <c r="M19" s="82">
        <f>IF(C2="P",Q19,S19)</f>
        <v>0.43</v>
      </c>
      <c r="N19" s="189"/>
      <c r="Q19" s="140">
        <f>S12</f>
        <v>2.5</v>
      </c>
      <c r="R19" s="5"/>
      <c r="S19" s="125">
        <f>Q12</f>
        <v>0.43</v>
      </c>
    </row>
    <row r="20" spans="1:19" x14ac:dyDescent="0.25">
      <c r="B20" s="235"/>
      <c r="C20" s="28">
        <v>1</v>
      </c>
      <c r="D20" s="65">
        <f>D8</f>
        <v>3.54</v>
      </c>
      <c r="E20" s="64">
        <f>ROUNDDOWN((D5-(C20/0.5)*D7),H2)</f>
        <v>13.09</v>
      </c>
      <c r="F20" s="64">
        <f>ROUNDDOWN((D5-(C20/0.5)*D9),H2)</f>
        <v>9.43</v>
      </c>
      <c r="G20" s="99">
        <f>F19</f>
        <v>6.9</v>
      </c>
      <c r="H20" s="100">
        <f>ROUNDDOWN(H14-((C20/1)*(H14-F19)),H2)</f>
        <v>6.9</v>
      </c>
      <c r="I20" s="66" t="str">
        <f>TEXT("BASE|" &amp;D8,"0,00")</f>
        <v>BASE|3,54</v>
      </c>
      <c r="J20" s="36"/>
      <c r="K20" s="20"/>
      <c r="L20" s="20"/>
      <c r="M20" s="117">
        <f>IF(C2="P",Q20,S20)</f>
        <v>0.18</v>
      </c>
      <c r="N20" s="15"/>
      <c r="O20" s="204"/>
      <c r="Q20" s="140">
        <f>S11</f>
        <v>2.77</v>
      </c>
      <c r="R20" s="5"/>
      <c r="S20" s="125">
        <f>Q11</f>
        <v>0.18</v>
      </c>
    </row>
    <row r="21" spans="1:19" x14ac:dyDescent="0.25">
      <c r="B21" s="107"/>
      <c r="C21" s="20"/>
      <c r="D21" s="111"/>
      <c r="E21" s="111"/>
      <c r="F21" s="111"/>
      <c r="G21" s="20"/>
      <c r="H21" s="20"/>
      <c r="I21" s="20"/>
      <c r="J21" s="20"/>
      <c r="K21" s="20"/>
      <c r="L21" s="20"/>
      <c r="M21" s="116">
        <f>IF(C2="P",Q21,S21)</f>
        <v>-0.1</v>
      </c>
      <c r="N21" s="15"/>
      <c r="O21" s="206"/>
      <c r="Q21" s="128" t="str">
        <f>S10</f>
        <v>382+| 3,15</v>
      </c>
      <c r="R21" s="69"/>
      <c r="S21" s="129">
        <f>Q10</f>
        <v>-0.1</v>
      </c>
    </row>
    <row r="22" spans="1:19" x14ac:dyDescent="0.25">
      <c r="B22" s="107"/>
      <c r="C22" s="176"/>
      <c r="D22" s="177"/>
      <c r="E22" s="178"/>
      <c r="F22" s="178"/>
      <c r="G22" s="178"/>
      <c r="H22" s="178"/>
      <c r="I22" s="178"/>
      <c r="J22" s="178"/>
      <c r="K22" s="179"/>
      <c r="L22" s="20"/>
      <c r="M22" s="116" t="str">
        <f>IF(C2="P",Q22,S22)</f>
        <v>BASE+|-0,525</v>
      </c>
      <c r="N22" s="15"/>
      <c r="O22" s="206"/>
      <c r="Q22" s="128" t="str">
        <f>I20</f>
        <v>BASE|3,54</v>
      </c>
      <c r="R22" s="70"/>
      <c r="S22" s="121" t="str">
        <f>I19</f>
        <v>BASE+|-0,525</v>
      </c>
    </row>
    <row r="23" spans="1:19" ht="16.5" customHeight="1" x14ac:dyDescent="0.25">
      <c r="A23" s="20"/>
      <c r="B23" s="107"/>
      <c r="C23" s="180" t="s">
        <v>19</v>
      </c>
      <c r="D23" s="181" t="s">
        <v>14</v>
      </c>
      <c r="E23" s="181" t="s">
        <v>15</v>
      </c>
      <c r="F23" s="181" t="s">
        <v>16</v>
      </c>
      <c r="G23" s="181" t="s">
        <v>17</v>
      </c>
      <c r="H23" s="181" t="s">
        <v>163</v>
      </c>
      <c r="I23" s="181" t="s">
        <v>162</v>
      </c>
      <c r="J23" s="182" t="s">
        <v>18</v>
      </c>
      <c r="K23" s="217" t="s">
        <v>20</v>
      </c>
      <c r="L23" s="20"/>
      <c r="M23" s="114" t="str">
        <f>IF(C2="P",Q23,S23)</f>
        <v>COR|-0,72</v>
      </c>
      <c r="N23" s="15"/>
      <c r="O23" s="205"/>
      <c r="Q23" s="126">
        <f>G18</f>
        <v>3.74</v>
      </c>
      <c r="R23" s="69"/>
      <c r="S23" s="122" t="str">
        <f>I18</f>
        <v>COR|-0,72</v>
      </c>
    </row>
    <row r="24" spans="1:19" ht="21.75" customHeight="1" x14ac:dyDescent="0.3">
      <c r="A24" s="20"/>
      <c r="B24" s="225" t="s">
        <v>25</v>
      </c>
      <c r="C24" s="144" t="str">
        <f>TEXT("["&amp;ROUNDDOWN((((H24/G24)*100)-100),2)&amp;" %] ","0,00")</f>
        <v xml:space="preserve">[57,2 %] </v>
      </c>
      <c r="D24" s="86">
        <v>1</v>
      </c>
      <c r="E24" s="86">
        <v>20</v>
      </c>
      <c r="F24" s="87">
        <f>G24*D24/E24</f>
        <v>0.125</v>
      </c>
      <c r="G24" s="202" t="s">
        <v>169</v>
      </c>
      <c r="H24" s="202" t="s">
        <v>170</v>
      </c>
      <c r="I24" s="202" t="s">
        <v>171</v>
      </c>
      <c r="J24" s="88">
        <f>(G24-I24)*D24</f>
        <v>0.35999999999999988</v>
      </c>
      <c r="K24" s="218">
        <f>(H24-G24)*D24</f>
        <v>1.4300000000000002</v>
      </c>
      <c r="L24" s="20"/>
      <c r="M24" s="113">
        <f>IF(C2="P",Q24,S24)</f>
        <v>-0.95</v>
      </c>
      <c r="N24" s="15"/>
      <c r="O24" s="205"/>
      <c r="Q24" s="124" t="str">
        <f>S7</f>
        <v>236+|3,93</v>
      </c>
      <c r="R24" s="69"/>
      <c r="S24" s="125">
        <f>Q7</f>
        <v>-0.95</v>
      </c>
    </row>
    <row r="25" spans="1:19" ht="21" customHeight="1" x14ac:dyDescent="0.3">
      <c r="B25" s="225"/>
      <c r="C25" s="207"/>
      <c r="D25" s="208"/>
      <c r="E25" s="208"/>
      <c r="F25" s="209"/>
      <c r="G25" s="210"/>
      <c r="H25" s="210"/>
      <c r="I25" s="210"/>
      <c r="J25" s="215"/>
      <c r="K25" s="219"/>
      <c r="L25" s="20"/>
      <c r="M25" s="118">
        <f>IF(C2="P",Q25,S25)</f>
        <v>-1.3499999999999996</v>
      </c>
      <c r="N25" s="15"/>
      <c r="O25" s="206"/>
      <c r="Q25" s="120" t="str">
        <f>S6</f>
        <v>BRK|4,33</v>
      </c>
      <c r="R25" s="69"/>
      <c r="S25" s="123">
        <f>Q6</f>
        <v>-1.3499999999999996</v>
      </c>
    </row>
    <row r="26" spans="1:19" ht="19.5" customHeight="1" x14ac:dyDescent="0.3">
      <c r="B26" s="225"/>
      <c r="C26" s="207"/>
      <c r="D26" s="208"/>
      <c r="E26" s="208"/>
      <c r="F26" s="209"/>
      <c r="G26" s="211"/>
      <c r="H26" s="211"/>
      <c r="I26" s="210"/>
      <c r="J26" s="215"/>
      <c r="K26" s="219"/>
      <c r="L26" s="20"/>
      <c r="M26" s="114">
        <f>IF(C2="P",TEXT( Q26 &amp;" | " &amp;G19,"0,00"),S26)</f>
        <v>-1.89</v>
      </c>
      <c r="N26" s="15"/>
      <c r="O26" s="205"/>
      <c r="Q26" s="126">
        <f>F18</f>
        <v>4.93</v>
      </c>
      <c r="R26" s="69"/>
      <c r="S26" s="123">
        <f>H14</f>
        <v>-1.89</v>
      </c>
    </row>
    <row r="27" spans="1:19" ht="19.5" thickBot="1" x14ac:dyDescent="0.35">
      <c r="B27" s="226"/>
      <c r="C27" s="212"/>
      <c r="D27" s="213"/>
      <c r="E27" s="213"/>
      <c r="F27" s="209"/>
      <c r="G27" s="214"/>
      <c r="H27" s="214"/>
      <c r="I27" s="210"/>
      <c r="J27" s="216"/>
      <c r="K27" s="220"/>
      <c r="L27" s="112"/>
      <c r="M27" s="119">
        <f>IF(C2="P",Q27,S27)</f>
        <v>-2.35</v>
      </c>
      <c r="N27" s="15"/>
      <c r="O27" s="223" t="str">
        <f>IF(C2="P",IF(D2="STATIC",IF(D5&gt;D6,"","▲"),IF(D5&gt;D6,"▲","")),IF(D2="STATIC",IF(D6&gt;D5,"","▲"),IF(D6&gt;D5,"▲","")))</f>
        <v>▲</v>
      </c>
      <c r="P27" s="20"/>
      <c r="Q27" s="141">
        <f>E17</f>
        <v>5.37</v>
      </c>
      <c r="R27" s="142"/>
      <c r="S27" s="143">
        <f>E14</f>
        <v>-2.35</v>
      </c>
    </row>
    <row r="28" spans="1:19" ht="15.75" x14ac:dyDescent="0.25">
      <c r="B28" s="80"/>
      <c r="C28" s="145"/>
      <c r="D28" s="146"/>
      <c r="E28" s="221">
        <f>IF(ISNUMBER(SEARCH("|", M24)), MID(M24,FIND("|",M24,1)+1,LEN(M24)), M24)</f>
        <v>-0.95</v>
      </c>
      <c r="F28" s="40"/>
      <c r="G28" s="73"/>
      <c r="H28" s="73"/>
      <c r="I28" s="73"/>
      <c r="J28" s="41"/>
      <c r="K28" s="41"/>
      <c r="P28" s="20"/>
    </row>
    <row r="29" spans="1:19" x14ac:dyDescent="0.25">
      <c r="K29" s="20"/>
      <c r="P29" s="20"/>
      <c r="Q29" s="20"/>
      <c r="R29" s="20"/>
    </row>
    <row r="30" spans="1:19" x14ac:dyDescent="0.25">
      <c r="C30" s="85"/>
      <c r="D30" s="85"/>
      <c r="E30" s="85"/>
      <c r="F30" s="85"/>
      <c r="G30" s="85"/>
      <c r="H30" s="85"/>
    </row>
    <row r="31" spans="1:19" x14ac:dyDescent="0.25">
      <c r="B31" s="25"/>
      <c r="C31" s="85"/>
      <c r="D31" s="85"/>
      <c r="E31" s="85"/>
      <c r="F31" s="85"/>
      <c r="G31" s="85"/>
      <c r="H31" s="85"/>
    </row>
    <row r="32" spans="1:19" x14ac:dyDescent="0.25">
      <c r="B32" s="25"/>
      <c r="C32" s="85"/>
      <c r="D32" s="85"/>
      <c r="E32" s="85"/>
      <c r="F32" s="85"/>
      <c r="G32" s="85"/>
      <c r="H32" s="85"/>
    </row>
    <row r="33" spans="2:9" x14ac:dyDescent="0.25">
      <c r="B33" s="25"/>
      <c r="C33" s="85"/>
      <c r="D33" s="85"/>
      <c r="E33" s="85"/>
      <c r="F33" s="85"/>
      <c r="G33" s="85"/>
      <c r="H33" s="85"/>
    </row>
    <row r="34" spans="2:9" x14ac:dyDescent="0.25">
      <c r="B34" s="25"/>
      <c r="C34" s="85"/>
      <c r="D34" s="85"/>
      <c r="E34" s="85"/>
      <c r="F34" s="85"/>
      <c r="G34" s="85"/>
      <c r="H34" s="85"/>
    </row>
    <row r="35" spans="2:9" x14ac:dyDescent="0.25">
      <c r="C35" s="85"/>
      <c r="D35" s="85"/>
      <c r="E35" s="85"/>
      <c r="F35" s="85"/>
      <c r="G35" s="85"/>
      <c r="H35" s="85"/>
      <c r="I35" s="85"/>
    </row>
    <row r="36" spans="2:9" x14ac:dyDescent="0.25">
      <c r="C36" s="85"/>
      <c r="D36" s="85"/>
      <c r="E36" s="85"/>
      <c r="F36" s="85"/>
      <c r="G36" s="85"/>
      <c r="H36" s="85"/>
      <c r="I36" s="85"/>
    </row>
    <row r="37" spans="2:9" x14ac:dyDescent="0.25">
      <c r="C37" s="85"/>
      <c r="D37" s="85"/>
      <c r="E37" s="85"/>
      <c r="F37" s="85"/>
      <c r="G37" s="85"/>
      <c r="H37" s="85"/>
      <c r="I37" s="85"/>
    </row>
  </sheetData>
  <sheetProtection sheet="1" objects="1" scenarios="1" selectLockedCells="1"/>
  <mergeCells count="6">
    <mergeCell ref="B24:B27"/>
    <mergeCell ref="Q2:S2"/>
    <mergeCell ref="L2:M2"/>
    <mergeCell ref="G4:H4"/>
    <mergeCell ref="B5:B10"/>
    <mergeCell ref="B14:B20"/>
  </mergeCells>
  <conditionalFormatting sqref="C5">
    <cfRule type="expression" dxfId="4" priority="3">
      <formula>$C$3="P"</formula>
    </cfRule>
    <cfRule type="expression" dxfId="3" priority="4">
      <formula>$C$2="L"</formula>
    </cfRule>
  </conditionalFormatting>
  <conditionalFormatting sqref="C6">
    <cfRule type="expression" dxfId="2" priority="1">
      <formula>$C$2="P"</formula>
    </cfRule>
    <cfRule type="expression" dxfId="1" priority="2">
      <formula>$C$2="L"</formula>
    </cfRule>
  </conditionalFormatting>
  <dataValidations count="5">
    <dataValidation type="list" allowBlank="1" showInputMessage="1" showErrorMessage="1" sqref="G2">
      <formula1>"1H,4H,1D,1W,1M"</formula1>
    </dataValidation>
    <dataValidation type="list" allowBlank="1" showInputMessage="1" showErrorMessage="1" sqref="E2">
      <formula1>"0+,BRK,GAP,AOP,COR,382+,COAOP,618PS,"</formula1>
    </dataValidation>
    <dataValidation type="list" allowBlank="1" showInputMessage="1" showErrorMessage="1" sqref="H2">
      <formula1>"1,2,3,4,5,6,7,8,9,10"</formula1>
    </dataValidation>
    <dataValidation type="list" allowBlank="1" showInputMessage="1" showErrorMessage="1" sqref="I2">
      <formula1>"BID,ASK"</formula1>
    </dataValidation>
    <dataValidation type="list" allowBlank="1" showInputMessage="1" showErrorMessage="1" sqref="C2">
      <formula1>"L,P"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AB6447A-02B3-4639-B507-DB772A97136A}">
            <xm:f>NOT(ISERROR(SEARCH("-",C24)))</xm:f>
            <xm:f>"-"</xm:f>
            <x14:dxf>
              <font>
                <color rgb="FF9C0006"/>
              </font>
            </x14:dxf>
          </x14:cfRule>
          <xm:sqref>C24:C27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AA255"/>
  <sheetViews>
    <sheetView zoomScaleNormal="100" workbookViewId="0">
      <selection activeCell="L18" sqref="L18"/>
    </sheetView>
  </sheetViews>
  <sheetFormatPr baseColWidth="10" defaultRowHeight="12" x14ac:dyDescent="0.2"/>
  <cols>
    <col min="1" max="2" width="11.42578125" style="67"/>
    <col min="3" max="3" width="11.42578125" style="147"/>
    <col min="4" max="13" width="11.42578125" style="67"/>
    <col min="14" max="14" width="13" style="67" customWidth="1"/>
    <col min="15" max="15" width="4.28515625" style="67" customWidth="1"/>
    <col min="16" max="16384" width="11.42578125" style="67"/>
  </cols>
  <sheetData>
    <row r="2" spans="2:14" x14ac:dyDescent="0.2">
      <c r="C2" s="149" t="s">
        <v>107</v>
      </c>
      <c r="D2" s="150"/>
      <c r="E2" s="151"/>
      <c r="F2" s="151"/>
      <c r="G2" s="151"/>
      <c r="H2" s="151"/>
      <c r="I2" s="151"/>
      <c r="J2" s="151"/>
      <c r="K2" s="151"/>
      <c r="L2" s="151"/>
      <c r="M2" s="151"/>
      <c r="N2" s="152"/>
    </row>
    <row r="3" spans="2:14" x14ac:dyDescent="0.2">
      <c r="C3" s="153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5"/>
    </row>
    <row r="4" spans="2:14" x14ac:dyDescent="0.2">
      <c r="C4" s="168" t="s">
        <v>23</v>
      </c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70"/>
    </row>
    <row r="5" spans="2:14" x14ac:dyDescent="0.2">
      <c r="B5" s="39"/>
      <c r="C5" s="168" t="s">
        <v>132</v>
      </c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170"/>
    </row>
    <row r="6" spans="2:14" x14ac:dyDescent="0.2">
      <c r="C6" s="168" t="s">
        <v>24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70"/>
    </row>
    <row r="7" spans="2:14" x14ac:dyDescent="0.2">
      <c r="C7" s="153"/>
      <c r="D7" s="154"/>
      <c r="E7" s="154"/>
      <c r="F7" s="154"/>
      <c r="G7" s="154"/>
      <c r="H7" s="154"/>
      <c r="I7" s="154"/>
      <c r="J7" s="154"/>
      <c r="K7" s="154"/>
      <c r="L7" s="154"/>
      <c r="M7" s="154"/>
      <c r="N7" s="155"/>
    </row>
    <row r="8" spans="2:14" x14ac:dyDescent="0.2">
      <c r="C8" s="153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5"/>
    </row>
    <row r="9" spans="2:14" x14ac:dyDescent="0.2">
      <c r="C9" s="153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155"/>
    </row>
    <row r="10" spans="2:14" x14ac:dyDescent="0.2">
      <c r="C10" s="153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5"/>
    </row>
    <row r="11" spans="2:14" x14ac:dyDescent="0.2">
      <c r="C11" s="153"/>
      <c r="D11" s="154"/>
      <c r="E11" s="154"/>
      <c r="F11" s="154"/>
      <c r="G11" s="154"/>
      <c r="H11" s="154"/>
      <c r="I11" s="154"/>
      <c r="J11" s="154"/>
      <c r="K11" s="154"/>
      <c r="L11" s="154"/>
      <c r="M11" s="154"/>
      <c r="N11" s="155"/>
    </row>
    <row r="12" spans="2:14" ht="12.75" x14ac:dyDescent="0.2">
      <c r="C12" s="153"/>
      <c r="D12" s="162" t="s">
        <v>34</v>
      </c>
      <c r="E12" s="154"/>
      <c r="F12" s="154"/>
      <c r="G12" s="154"/>
      <c r="H12" s="154"/>
      <c r="I12" s="154"/>
      <c r="J12" s="154"/>
      <c r="K12" s="154"/>
      <c r="L12" s="154"/>
      <c r="M12" s="154"/>
      <c r="N12" s="155"/>
    </row>
    <row r="13" spans="2:14" ht="15" x14ac:dyDescent="0.2">
      <c r="C13" s="153"/>
      <c r="E13" s="154"/>
      <c r="F13" s="167" t="s">
        <v>108</v>
      </c>
      <c r="G13" s="154"/>
      <c r="H13" s="157" t="s">
        <v>109</v>
      </c>
      <c r="I13" s="154"/>
      <c r="J13" s="154"/>
      <c r="K13" s="154"/>
      <c r="L13" s="154"/>
      <c r="M13" s="154"/>
      <c r="N13" s="155"/>
    </row>
    <row r="14" spans="2:14" ht="15" x14ac:dyDescent="0.2">
      <c r="C14" s="158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5"/>
    </row>
    <row r="15" spans="2:14" ht="12.75" x14ac:dyDescent="0.2">
      <c r="C15" s="156" t="s">
        <v>35</v>
      </c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5"/>
    </row>
    <row r="16" spans="2:14" ht="15" x14ac:dyDescent="0.2">
      <c r="C16" s="158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5"/>
    </row>
    <row r="17" spans="3:14" ht="12.75" x14ac:dyDescent="0.2">
      <c r="C17" s="159" t="s">
        <v>36</v>
      </c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5"/>
    </row>
    <row r="18" spans="3:14" ht="12.75" x14ac:dyDescent="0.2">
      <c r="C18" s="159" t="s">
        <v>37</v>
      </c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5"/>
    </row>
    <row r="19" spans="3:14" ht="12.75" x14ac:dyDescent="0.2">
      <c r="C19" s="159" t="s">
        <v>38</v>
      </c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5"/>
    </row>
    <row r="20" spans="3:14" ht="12.75" x14ac:dyDescent="0.2">
      <c r="C20" s="159" t="s">
        <v>39</v>
      </c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5"/>
    </row>
    <row r="21" spans="3:14" ht="12.75" x14ac:dyDescent="0.2">
      <c r="C21" s="159" t="s">
        <v>40</v>
      </c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5"/>
    </row>
    <row r="22" spans="3:14" ht="15" x14ac:dyDescent="0.2">
      <c r="C22" s="158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5"/>
    </row>
    <row r="23" spans="3:14" ht="15" x14ac:dyDescent="0.2">
      <c r="C23" s="158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5"/>
    </row>
    <row r="24" spans="3:14" ht="12.75" x14ac:dyDescent="0.2">
      <c r="C24" s="156" t="s">
        <v>113</v>
      </c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1"/>
    </row>
    <row r="25" spans="3:14" ht="15" x14ac:dyDescent="0.2">
      <c r="C25" s="158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1"/>
    </row>
    <row r="26" spans="3:14" ht="15" x14ac:dyDescent="0.2">
      <c r="C26" s="158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1"/>
    </row>
    <row r="27" spans="3:14" ht="12.75" x14ac:dyDescent="0.2">
      <c r="C27" s="156" t="s">
        <v>142</v>
      </c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1"/>
    </row>
    <row r="28" spans="3:14" ht="12.75" x14ac:dyDescent="0.2">
      <c r="C28" s="156" t="s">
        <v>145</v>
      </c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1"/>
    </row>
    <row r="29" spans="3:14" ht="12.75" x14ac:dyDescent="0.2">
      <c r="C29" s="156" t="s">
        <v>144</v>
      </c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1"/>
    </row>
    <row r="30" spans="3:14" ht="15" x14ac:dyDescent="0.2">
      <c r="C30" s="158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1"/>
    </row>
    <row r="31" spans="3:14" ht="12.75" x14ac:dyDescent="0.2">
      <c r="C31" s="156" t="s">
        <v>121</v>
      </c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1"/>
    </row>
    <row r="32" spans="3:14" ht="12.75" x14ac:dyDescent="0.2">
      <c r="C32" s="156" t="s">
        <v>80</v>
      </c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1"/>
    </row>
    <row r="33" spans="3:14" ht="12.75" x14ac:dyDescent="0.2">
      <c r="C33" s="156" t="s">
        <v>41</v>
      </c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1"/>
    </row>
    <row r="34" spans="3:14" ht="15" x14ac:dyDescent="0.2">
      <c r="C34" s="158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1"/>
    </row>
    <row r="35" spans="3:14" ht="12.75" x14ac:dyDescent="0.2">
      <c r="C35" s="156" t="s">
        <v>42</v>
      </c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1"/>
    </row>
    <row r="36" spans="3:14" ht="12.75" x14ac:dyDescent="0.2">
      <c r="C36" s="156" t="s">
        <v>43</v>
      </c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1"/>
    </row>
    <row r="37" spans="3:14" ht="12.75" x14ac:dyDescent="0.2">
      <c r="C37" s="156" t="s">
        <v>44</v>
      </c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1"/>
    </row>
    <row r="38" spans="3:14" ht="12.75" x14ac:dyDescent="0.2">
      <c r="C38" s="156" t="s">
        <v>45</v>
      </c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1"/>
    </row>
    <row r="39" spans="3:14" ht="12.75" x14ac:dyDescent="0.2">
      <c r="C39" s="156" t="s">
        <v>46</v>
      </c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1"/>
    </row>
    <row r="40" spans="3:14" ht="15" x14ac:dyDescent="0.2">
      <c r="C40" s="158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1"/>
    </row>
    <row r="41" spans="3:14" ht="12.75" x14ac:dyDescent="0.2">
      <c r="C41" s="156" t="s">
        <v>47</v>
      </c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1"/>
    </row>
    <row r="42" spans="3:14" ht="12.75" x14ac:dyDescent="0.2">
      <c r="C42" s="156" t="s">
        <v>48</v>
      </c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1"/>
    </row>
    <row r="43" spans="3:14" ht="12.75" x14ac:dyDescent="0.2">
      <c r="C43" s="156" t="s">
        <v>49</v>
      </c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  <row r="44" spans="3:14" ht="12.75" x14ac:dyDescent="0.2">
      <c r="C44" s="156" t="s">
        <v>50</v>
      </c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1"/>
    </row>
    <row r="45" spans="3:14" ht="15" x14ac:dyDescent="0.2">
      <c r="C45" s="158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1"/>
    </row>
    <row r="46" spans="3:14" ht="12.75" x14ac:dyDescent="0.2">
      <c r="C46" s="156" t="s">
        <v>81</v>
      </c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1"/>
    </row>
    <row r="47" spans="3:14" ht="12.75" x14ac:dyDescent="0.2">
      <c r="C47" s="156" t="s">
        <v>51</v>
      </c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1"/>
    </row>
    <row r="48" spans="3:14" ht="12.75" x14ac:dyDescent="0.2">
      <c r="C48" s="156" t="s">
        <v>52</v>
      </c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1"/>
    </row>
    <row r="49" spans="3:27" ht="12.75" x14ac:dyDescent="0.2">
      <c r="C49" s="156" t="s">
        <v>53</v>
      </c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1"/>
    </row>
    <row r="50" spans="3:27" ht="12.75" x14ac:dyDescent="0.2">
      <c r="C50" s="156" t="s">
        <v>54</v>
      </c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1"/>
    </row>
    <row r="51" spans="3:27" ht="12.75" x14ac:dyDescent="0.2">
      <c r="C51" s="156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1"/>
    </row>
    <row r="52" spans="3:27" ht="12.75" x14ac:dyDescent="0.2">
      <c r="C52" s="156" t="s">
        <v>110</v>
      </c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1"/>
    </row>
    <row r="53" spans="3:27" ht="12.75" x14ac:dyDescent="0.2">
      <c r="C53" s="156" t="s">
        <v>129</v>
      </c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1"/>
    </row>
    <row r="54" spans="3:27" ht="12.75" x14ac:dyDescent="0.2">
      <c r="C54" s="156" t="s">
        <v>111</v>
      </c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1"/>
    </row>
    <row r="55" spans="3:27" ht="12.75" x14ac:dyDescent="0.2">
      <c r="C55" s="156" t="s">
        <v>92</v>
      </c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1"/>
    </row>
    <row r="56" spans="3:27" ht="12.75" x14ac:dyDescent="0.2">
      <c r="C56" s="156" t="s">
        <v>112</v>
      </c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1"/>
    </row>
    <row r="57" spans="3:27" ht="12.75" x14ac:dyDescent="0.2">
      <c r="C57" s="156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1"/>
    </row>
    <row r="58" spans="3:27" x14ac:dyDescent="0.2">
      <c r="C58" s="153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5"/>
    </row>
    <row r="59" spans="3:27" x14ac:dyDescent="0.2">
      <c r="C59" s="153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5"/>
    </row>
    <row r="60" spans="3:27" ht="12.75" x14ac:dyDescent="0.2">
      <c r="C60" s="153"/>
      <c r="D60" s="162" t="s">
        <v>64</v>
      </c>
      <c r="E60" s="160"/>
      <c r="F60" s="160"/>
      <c r="G60" s="160"/>
      <c r="H60" s="160"/>
      <c r="I60" s="160"/>
      <c r="J60" s="160"/>
      <c r="K60" s="160"/>
      <c r="L60" s="160"/>
      <c r="M60" s="160"/>
      <c r="N60" s="161"/>
    </row>
    <row r="61" spans="3:27" ht="15" x14ac:dyDescent="0.2">
      <c r="C61" s="153"/>
      <c r="D61" s="163"/>
      <c r="E61" s="160"/>
      <c r="F61" s="160"/>
      <c r="G61" s="160"/>
      <c r="H61" s="160"/>
      <c r="I61" s="160"/>
      <c r="J61" s="160"/>
      <c r="K61" s="160"/>
      <c r="L61" s="160"/>
      <c r="M61" s="160"/>
      <c r="N61" s="161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</row>
    <row r="62" spans="3:27" ht="12.75" x14ac:dyDescent="0.2">
      <c r="C62" s="153"/>
      <c r="D62" s="162" t="s">
        <v>66</v>
      </c>
      <c r="E62" s="160"/>
      <c r="F62" s="160"/>
      <c r="G62" s="154"/>
      <c r="H62" s="160"/>
      <c r="I62" s="160"/>
      <c r="J62" s="160"/>
      <c r="K62" s="160"/>
      <c r="L62" s="160"/>
      <c r="M62" s="160"/>
      <c r="N62" s="161"/>
    </row>
    <row r="63" spans="3:27" ht="12.75" x14ac:dyDescent="0.2">
      <c r="C63" s="153"/>
      <c r="D63" s="162" t="s">
        <v>65</v>
      </c>
      <c r="E63" s="160"/>
      <c r="F63" s="160"/>
      <c r="G63" s="160"/>
      <c r="H63" s="160"/>
      <c r="I63" s="160"/>
      <c r="J63" s="160"/>
      <c r="K63" s="160"/>
      <c r="L63" s="160"/>
      <c r="M63" s="160"/>
      <c r="N63" s="161"/>
    </row>
    <row r="64" spans="3:27" ht="12.75" x14ac:dyDescent="0.2">
      <c r="C64" s="153"/>
      <c r="D64" s="162" t="s">
        <v>67</v>
      </c>
      <c r="E64" s="160"/>
      <c r="F64" s="160"/>
      <c r="G64" s="160"/>
      <c r="H64" s="160"/>
      <c r="I64" s="160"/>
      <c r="J64" s="160"/>
      <c r="K64" s="160"/>
      <c r="L64" s="160"/>
      <c r="M64" s="160"/>
      <c r="N64" s="161"/>
    </row>
    <row r="65" spans="3:14" ht="12.75" x14ac:dyDescent="0.2">
      <c r="C65" s="153"/>
      <c r="D65" s="162" t="s">
        <v>93</v>
      </c>
      <c r="E65" s="160"/>
      <c r="F65" s="160"/>
      <c r="G65" s="160"/>
      <c r="H65" s="160"/>
      <c r="I65" s="160"/>
      <c r="J65" s="160"/>
      <c r="K65" s="160"/>
      <c r="L65" s="160"/>
      <c r="M65" s="160"/>
      <c r="N65" s="161"/>
    </row>
    <row r="66" spans="3:14" ht="12.75" x14ac:dyDescent="0.2">
      <c r="C66" s="153"/>
      <c r="D66" s="162" t="s">
        <v>94</v>
      </c>
      <c r="E66" s="160"/>
      <c r="F66" s="160"/>
      <c r="G66" s="160"/>
      <c r="H66" s="160"/>
      <c r="I66" s="160"/>
      <c r="J66" s="160"/>
      <c r="K66" s="160"/>
      <c r="L66" s="160"/>
      <c r="M66" s="160"/>
      <c r="N66" s="161"/>
    </row>
    <row r="67" spans="3:14" ht="12.75" x14ac:dyDescent="0.2">
      <c r="C67" s="153"/>
      <c r="D67" s="162" t="s">
        <v>82</v>
      </c>
      <c r="E67" s="160"/>
      <c r="F67" s="160"/>
      <c r="G67" s="160"/>
      <c r="H67" s="160"/>
      <c r="I67" s="160"/>
      <c r="J67" s="160"/>
      <c r="K67" s="160"/>
      <c r="L67" s="160"/>
      <c r="M67" s="160"/>
      <c r="N67" s="161"/>
    </row>
    <row r="68" spans="3:14" ht="12.75" x14ac:dyDescent="0.2">
      <c r="C68" s="153"/>
      <c r="D68" s="162"/>
      <c r="E68" s="160"/>
      <c r="F68" s="160"/>
      <c r="G68" s="154"/>
      <c r="H68" s="154"/>
      <c r="I68" s="154"/>
      <c r="J68" s="154"/>
      <c r="K68" s="154"/>
      <c r="L68" s="154"/>
      <c r="M68" s="154"/>
      <c r="N68" s="155"/>
    </row>
    <row r="69" spans="3:14" x14ac:dyDescent="0.2">
      <c r="C69" s="153"/>
      <c r="D69" s="154"/>
      <c r="E69" s="154"/>
      <c r="F69" s="154"/>
      <c r="G69" s="154"/>
      <c r="H69" s="154"/>
      <c r="I69" s="154"/>
      <c r="J69" s="154"/>
      <c r="K69" s="154"/>
      <c r="L69" s="154"/>
      <c r="M69" s="154"/>
      <c r="N69" s="155"/>
    </row>
    <row r="70" spans="3:14" ht="12.75" x14ac:dyDescent="0.2">
      <c r="C70" s="156" t="s">
        <v>114</v>
      </c>
      <c r="D70" s="160"/>
      <c r="E70" s="160"/>
      <c r="F70" s="160"/>
      <c r="G70" s="160"/>
      <c r="H70" s="160"/>
      <c r="I70" s="160"/>
      <c r="J70" s="160"/>
      <c r="K70" s="160"/>
      <c r="L70" s="160"/>
      <c r="M70" s="160"/>
      <c r="N70" s="161"/>
    </row>
    <row r="71" spans="3:14" ht="15" x14ac:dyDescent="0.2">
      <c r="C71" s="158"/>
      <c r="D71" s="160"/>
      <c r="E71" s="160"/>
      <c r="F71" s="160"/>
      <c r="G71" s="160"/>
      <c r="H71" s="160"/>
      <c r="I71" s="160"/>
      <c r="J71" s="160"/>
      <c r="K71" s="160"/>
      <c r="L71" s="160"/>
      <c r="M71" s="160"/>
      <c r="N71" s="161"/>
    </row>
    <row r="72" spans="3:14" ht="15" x14ac:dyDescent="0.2">
      <c r="C72" s="158"/>
      <c r="D72" s="160"/>
      <c r="E72" s="160"/>
      <c r="F72" s="160"/>
      <c r="G72" s="160"/>
      <c r="H72" s="160"/>
      <c r="I72" s="160"/>
      <c r="J72" s="160"/>
      <c r="K72" s="160"/>
      <c r="L72" s="160"/>
      <c r="M72" s="160"/>
      <c r="N72" s="161"/>
    </row>
    <row r="73" spans="3:14" ht="12.75" x14ac:dyDescent="0.2">
      <c r="C73" s="156" t="s">
        <v>143</v>
      </c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1"/>
    </row>
    <row r="74" spans="3:14" ht="12.75" x14ac:dyDescent="0.2">
      <c r="C74" s="156" t="s">
        <v>55</v>
      </c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61"/>
    </row>
    <row r="75" spans="3:14" ht="15" x14ac:dyDescent="0.2">
      <c r="C75" s="158"/>
      <c r="D75" s="160"/>
      <c r="E75" s="160"/>
      <c r="F75" s="160"/>
      <c r="G75" s="160"/>
      <c r="H75" s="160"/>
      <c r="I75" s="160"/>
      <c r="J75" s="160"/>
      <c r="K75" s="160"/>
      <c r="L75" s="160"/>
      <c r="M75" s="160"/>
      <c r="N75" s="161"/>
    </row>
    <row r="76" spans="3:14" ht="12.75" x14ac:dyDescent="0.2">
      <c r="C76" s="156" t="s">
        <v>116</v>
      </c>
      <c r="D76" s="160"/>
      <c r="E76" s="160"/>
      <c r="F76" s="160"/>
      <c r="G76" s="160"/>
      <c r="H76" s="160"/>
      <c r="I76" s="160"/>
      <c r="J76" s="160"/>
      <c r="K76" s="160"/>
      <c r="L76" s="160"/>
      <c r="M76" s="160"/>
      <c r="N76" s="161"/>
    </row>
    <row r="77" spans="3:14" ht="15" x14ac:dyDescent="0.2">
      <c r="C77" s="158"/>
      <c r="D77" s="160"/>
      <c r="E77" s="160"/>
      <c r="F77" s="160"/>
      <c r="G77" s="160"/>
      <c r="H77" s="160"/>
      <c r="I77" s="160"/>
      <c r="J77" s="160"/>
      <c r="K77" s="160"/>
      <c r="L77" s="160"/>
      <c r="M77" s="160"/>
      <c r="N77" s="161"/>
    </row>
    <row r="78" spans="3:14" ht="12.75" x14ac:dyDescent="0.2">
      <c r="C78" s="156" t="s">
        <v>117</v>
      </c>
      <c r="D78" s="160"/>
      <c r="E78" s="160"/>
      <c r="F78" s="160"/>
      <c r="G78" s="160"/>
      <c r="H78" s="160"/>
      <c r="I78" s="160"/>
      <c r="J78" s="160"/>
      <c r="K78" s="160"/>
      <c r="L78" s="160"/>
      <c r="M78" s="160"/>
      <c r="N78" s="161"/>
    </row>
    <row r="79" spans="3:14" ht="15" x14ac:dyDescent="0.2">
      <c r="C79" s="158"/>
      <c r="D79" s="160"/>
      <c r="E79" s="160"/>
      <c r="F79" s="160"/>
      <c r="G79" s="160"/>
      <c r="H79" s="160"/>
      <c r="I79" s="160"/>
      <c r="J79" s="160"/>
      <c r="K79" s="160"/>
      <c r="L79" s="160"/>
      <c r="M79" s="160"/>
      <c r="N79" s="161"/>
    </row>
    <row r="80" spans="3:14" ht="12.75" x14ac:dyDescent="0.2">
      <c r="C80" s="156" t="s">
        <v>56</v>
      </c>
      <c r="D80" s="160"/>
      <c r="E80" s="160"/>
      <c r="F80" s="160"/>
      <c r="G80" s="160"/>
      <c r="H80" s="160"/>
      <c r="I80" s="160"/>
      <c r="J80" s="160"/>
      <c r="K80" s="160"/>
      <c r="L80" s="160"/>
      <c r="M80" s="160"/>
      <c r="N80" s="161"/>
    </row>
    <row r="81" spans="3:14" ht="15" x14ac:dyDescent="0.2">
      <c r="C81" s="158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1"/>
    </row>
    <row r="82" spans="3:14" ht="15" x14ac:dyDescent="0.2">
      <c r="C82" s="158"/>
      <c r="D82" s="160"/>
      <c r="E82" s="160"/>
      <c r="F82" s="160"/>
      <c r="G82" s="160"/>
      <c r="H82" s="160"/>
      <c r="I82" s="160"/>
      <c r="J82" s="160"/>
      <c r="K82" s="160"/>
      <c r="L82" s="160"/>
      <c r="M82" s="160"/>
      <c r="N82" s="161"/>
    </row>
    <row r="83" spans="3:14" ht="12.75" x14ac:dyDescent="0.2">
      <c r="C83" s="156" t="s">
        <v>115</v>
      </c>
      <c r="D83" s="160"/>
      <c r="E83" s="160"/>
      <c r="F83" s="160"/>
      <c r="G83" s="160"/>
      <c r="H83" s="160"/>
      <c r="I83" s="160"/>
      <c r="J83" s="160"/>
      <c r="K83" s="160"/>
      <c r="L83" s="160"/>
      <c r="M83" s="160"/>
      <c r="N83" s="161"/>
    </row>
    <row r="84" spans="3:14" ht="15" x14ac:dyDescent="0.2">
      <c r="C84" s="158"/>
      <c r="D84" s="160"/>
      <c r="E84" s="160"/>
      <c r="F84" s="160"/>
      <c r="G84" s="160"/>
      <c r="H84" s="160"/>
      <c r="I84" s="160"/>
      <c r="J84" s="160"/>
      <c r="K84" s="160"/>
      <c r="L84" s="160"/>
      <c r="M84" s="160"/>
      <c r="N84" s="161"/>
    </row>
    <row r="85" spans="3:14" ht="15" x14ac:dyDescent="0.2">
      <c r="C85" s="158"/>
      <c r="D85" s="160"/>
      <c r="E85" s="160"/>
      <c r="F85" s="160"/>
      <c r="G85" s="160"/>
      <c r="H85" s="160"/>
      <c r="I85" s="160"/>
      <c r="J85" s="160"/>
      <c r="K85" s="160"/>
      <c r="L85" s="160"/>
      <c r="M85" s="160"/>
      <c r="N85" s="161"/>
    </row>
    <row r="86" spans="3:14" ht="12.75" x14ac:dyDescent="0.2">
      <c r="C86" s="156" t="s">
        <v>83</v>
      </c>
      <c r="D86" s="160"/>
      <c r="E86" s="160"/>
      <c r="F86" s="160"/>
      <c r="G86" s="160"/>
      <c r="H86" s="160"/>
      <c r="I86" s="160"/>
      <c r="J86" s="160"/>
      <c r="K86" s="160"/>
      <c r="L86" s="160"/>
      <c r="M86" s="160"/>
      <c r="N86" s="161"/>
    </row>
    <row r="87" spans="3:14" ht="12.75" x14ac:dyDescent="0.2">
      <c r="C87" s="156" t="s">
        <v>57</v>
      </c>
      <c r="D87" s="160"/>
      <c r="E87" s="160"/>
      <c r="F87" s="160"/>
      <c r="G87" s="160"/>
      <c r="H87" s="160"/>
      <c r="I87" s="160"/>
      <c r="J87" s="160"/>
      <c r="K87" s="160"/>
      <c r="L87" s="160"/>
      <c r="M87" s="160"/>
      <c r="N87" s="161"/>
    </row>
    <row r="88" spans="3:14" ht="15" x14ac:dyDescent="0.2">
      <c r="C88" s="158"/>
      <c r="D88" s="160"/>
      <c r="E88" s="160"/>
      <c r="F88" s="160"/>
      <c r="G88" s="160"/>
      <c r="H88" s="160"/>
      <c r="I88" s="160"/>
      <c r="J88" s="160"/>
      <c r="K88" s="160"/>
      <c r="L88" s="160"/>
      <c r="M88" s="160"/>
      <c r="N88" s="161"/>
    </row>
    <row r="89" spans="3:14" ht="12.75" x14ac:dyDescent="0.2">
      <c r="C89" s="156" t="s">
        <v>136</v>
      </c>
      <c r="D89" s="160"/>
      <c r="E89" s="160"/>
      <c r="F89" s="160"/>
      <c r="G89" s="160"/>
      <c r="H89" s="160"/>
      <c r="I89" s="160"/>
      <c r="J89" s="160"/>
      <c r="K89" s="160"/>
      <c r="L89" s="160"/>
      <c r="M89" s="160"/>
      <c r="N89" s="161"/>
    </row>
    <row r="90" spans="3:14" ht="12.75" x14ac:dyDescent="0.2">
      <c r="C90" s="156" t="s">
        <v>133</v>
      </c>
      <c r="D90" s="160"/>
      <c r="E90" s="160"/>
      <c r="F90" s="160"/>
      <c r="G90" s="160"/>
      <c r="H90" s="160"/>
      <c r="I90" s="160"/>
      <c r="J90" s="160"/>
      <c r="K90" s="160"/>
      <c r="L90" s="160"/>
      <c r="M90" s="160"/>
      <c r="N90" s="161"/>
    </row>
    <row r="91" spans="3:14" ht="12.75" x14ac:dyDescent="0.2">
      <c r="C91" s="156" t="s">
        <v>134</v>
      </c>
      <c r="D91" s="160"/>
      <c r="E91" s="160"/>
      <c r="F91" s="160"/>
      <c r="G91" s="160"/>
      <c r="H91" s="160"/>
      <c r="I91" s="160"/>
      <c r="J91" s="160"/>
      <c r="K91" s="160"/>
      <c r="L91" s="160"/>
      <c r="M91" s="160"/>
      <c r="N91" s="161"/>
    </row>
    <row r="92" spans="3:14" ht="12.75" x14ac:dyDescent="0.2">
      <c r="C92" s="156" t="s">
        <v>135</v>
      </c>
      <c r="D92" s="160"/>
      <c r="E92" s="160"/>
      <c r="F92" s="160"/>
      <c r="G92" s="160"/>
      <c r="H92" s="160"/>
      <c r="I92" s="160"/>
      <c r="J92" s="160"/>
      <c r="K92" s="160"/>
      <c r="L92" s="160"/>
      <c r="M92" s="160"/>
      <c r="N92" s="161"/>
    </row>
    <row r="93" spans="3:14" ht="15" x14ac:dyDescent="0.2">
      <c r="C93" s="158"/>
      <c r="D93" s="160"/>
      <c r="E93" s="160"/>
      <c r="F93" s="160"/>
      <c r="G93" s="160"/>
      <c r="H93" s="160"/>
      <c r="I93" s="160"/>
      <c r="J93" s="160"/>
      <c r="K93" s="160"/>
      <c r="L93" s="160"/>
      <c r="M93" s="160"/>
      <c r="N93" s="161"/>
    </row>
    <row r="94" spans="3:14" ht="12.75" x14ac:dyDescent="0.2">
      <c r="C94" s="156" t="s">
        <v>58</v>
      </c>
      <c r="D94" s="160"/>
      <c r="E94" s="160"/>
      <c r="F94" s="160"/>
      <c r="G94" s="160"/>
      <c r="H94" s="160"/>
      <c r="I94" s="160"/>
      <c r="J94" s="160"/>
      <c r="K94" s="160"/>
      <c r="L94" s="160"/>
      <c r="M94" s="160"/>
      <c r="N94" s="161"/>
    </row>
    <row r="95" spans="3:14" ht="12.75" x14ac:dyDescent="0.2">
      <c r="C95" s="156" t="s">
        <v>59</v>
      </c>
      <c r="D95" s="160"/>
      <c r="E95" s="160"/>
      <c r="F95" s="160"/>
      <c r="G95" s="160"/>
      <c r="H95" s="160"/>
      <c r="I95" s="160"/>
      <c r="J95" s="160"/>
      <c r="K95" s="160"/>
      <c r="L95" s="160"/>
      <c r="M95" s="160"/>
      <c r="N95" s="161"/>
    </row>
    <row r="96" spans="3:14" ht="15" x14ac:dyDescent="0.2">
      <c r="C96" s="158"/>
      <c r="D96" s="160"/>
      <c r="E96" s="160"/>
      <c r="F96" s="160"/>
      <c r="G96" s="160"/>
      <c r="H96" s="160"/>
      <c r="I96" s="160"/>
      <c r="J96" s="160"/>
      <c r="K96" s="160"/>
      <c r="L96" s="160"/>
      <c r="M96" s="160"/>
      <c r="N96" s="161"/>
    </row>
    <row r="97" spans="3:14" ht="12.75" x14ac:dyDescent="0.2">
      <c r="C97" s="156" t="s">
        <v>147</v>
      </c>
      <c r="D97" s="160"/>
      <c r="E97" s="160"/>
      <c r="F97" s="160"/>
      <c r="G97" s="160"/>
      <c r="H97" s="160"/>
      <c r="I97" s="160"/>
      <c r="J97" s="160"/>
      <c r="K97" s="160"/>
      <c r="L97" s="160"/>
      <c r="M97" s="160"/>
      <c r="N97" s="161"/>
    </row>
    <row r="98" spans="3:14" ht="12.75" x14ac:dyDescent="0.2">
      <c r="C98" s="156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1"/>
    </row>
    <row r="99" spans="3:14" ht="15" x14ac:dyDescent="0.2">
      <c r="C99" s="158" t="s">
        <v>148</v>
      </c>
      <c r="D99" s="160"/>
      <c r="E99" s="160"/>
      <c r="F99" s="160"/>
      <c r="G99" s="160"/>
      <c r="H99" s="160"/>
      <c r="I99" s="160"/>
      <c r="J99" s="160"/>
      <c r="K99" s="160"/>
      <c r="L99" s="160"/>
      <c r="M99" s="160"/>
      <c r="N99" s="161"/>
    </row>
    <row r="100" spans="3:14" ht="12.75" x14ac:dyDescent="0.2">
      <c r="C100" s="156" t="s">
        <v>95</v>
      </c>
      <c r="D100" s="160"/>
      <c r="E100" s="160"/>
      <c r="F100" s="160"/>
      <c r="G100" s="160"/>
      <c r="H100" s="160"/>
      <c r="I100" s="160"/>
      <c r="J100" s="160"/>
      <c r="K100" s="160"/>
      <c r="L100" s="160"/>
      <c r="M100" s="160"/>
      <c r="N100" s="161"/>
    </row>
    <row r="101" spans="3:14" ht="12.75" x14ac:dyDescent="0.2">
      <c r="C101" s="156" t="s">
        <v>122</v>
      </c>
      <c r="D101" s="160"/>
      <c r="E101" s="160"/>
      <c r="F101" s="160"/>
      <c r="G101" s="160"/>
      <c r="H101" s="160"/>
      <c r="I101" s="160"/>
      <c r="J101" s="160"/>
      <c r="K101" s="160"/>
      <c r="L101" s="160"/>
      <c r="M101" s="160"/>
      <c r="N101" s="161"/>
    </row>
    <row r="102" spans="3:14" ht="12.75" x14ac:dyDescent="0.2">
      <c r="C102" s="156" t="s">
        <v>140</v>
      </c>
      <c r="D102" s="160"/>
      <c r="E102" s="160"/>
      <c r="F102" s="160"/>
      <c r="G102" s="160"/>
      <c r="H102" s="160"/>
      <c r="I102" s="160"/>
      <c r="J102" s="160"/>
      <c r="K102" s="160"/>
      <c r="L102" s="160"/>
      <c r="M102" s="160"/>
      <c r="N102" s="161"/>
    </row>
    <row r="103" spans="3:14" ht="12.75" x14ac:dyDescent="0.2">
      <c r="C103" s="156" t="s">
        <v>137</v>
      </c>
      <c r="D103" s="160"/>
      <c r="E103" s="160"/>
      <c r="F103" s="160"/>
      <c r="G103" s="160"/>
      <c r="H103" s="160"/>
      <c r="I103" s="160"/>
      <c r="J103" s="160"/>
      <c r="K103" s="160"/>
      <c r="L103" s="160"/>
      <c r="M103" s="160"/>
      <c r="N103" s="161"/>
    </row>
    <row r="104" spans="3:14" x14ac:dyDescent="0.2">
      <c r="C104" s="153"/>
      <c r="D104" s="154"/>
      <c r="E104" s="154"/>
      <c r="F104" s="154"/>
      <c r="G104" s="154"/>
      <c r="H104" s="154"/>
      <c r="I104" s="154"/>
      <c r="J104" s="154"/>
      <c r="K104" s="154"/>
      <c r="L104" s="154"/>
      <c r="M104" s="154"/>
      <c r="N104" s="155"/>
    </row>
    <row r="105" spans="3:14" ht="12.75" x14ac:dyDescent="0.2">
      <c r="C105" s="156" t="s">
        <v>60</v>
      </c>
      <c r="D105" s="160"/>
      <c r="E105" s="160"/>
      <c r="F105" s="160"/>
      <c r="G105" s="160"/>
      <c r="H105" s="160"/>
      <c r="I105" s="160"/>
      <c r="J105" s="160"/>
      <c r="K105" s="160"/>
      <c r="L105" s="160"/>
      <c r="M105" s="160"/>
      <c r="N105" s="161"/>
    </row>
    <row r="106" spans="3:14" ht="12.75" x14ac:dyDescent="0.2">
      <c r="C106" s="156" t="s">
        <v>61</v>
      </c>
      <c r="D106" s="160"/>
      <c r="E106" s="160"/>
      <c r="F106" s="160"/>
      <c r="G106" s="160"/>
      <c r="H106" s="160"/>
      <c r="I106" s="160"/>
      <c r="J106" s="160"/>
      <c r="K106" s="160"/>
      <c r="L106" s="160"/>
      <c r="M106" s="160"/>
      <c r="N106" s="161"/>
    </row>
    <row r="107" spans="3:14" ht="12.75" x14ac:dyDescent="0.2">
      <c r="C107" s="156" t="s">
        <v>62</v>
      </c>
      <c r="D107" s="160"/>
      <c r="E107" s="160"/>
      <c r="F107" s="160"/>
      <c r="G107" s="160"/>
      <c r="H107" s="160"/>
      <c r="I107" s="160"/>
      <c r="J107" s="160"/>
      <c r="K107" s="160"/>
      <c r="L107" s="160"/>
      <c r="M107" s="160"/>
      <c r="N107" s="161"/>
    </row>
    <row r="108" spans="3:14" ht="12.75" x14ac:dyDescent="0.2">
      <c r="C108" s="156" t="s">
        <v>63</v>
      </c>
      <c r="D108" s="160"/>
      <c r="E108" s="160"/>
      <c r="F108" s="160"/>
      <c r="G108" s="160"/>
      <c r="H108" s="160"/>
      <c r="I108" s="160"/>
      <c r="J108" s="160"/>
      <c r="K108" s="160"/>
      <c r="L108" s="160"/>
      <c r="M108" s="160"/>
      <c r="N108" s="161"/>
    </row>
    <row r="109" spans="3:14" ht="15" x14ac:dyDescent="0.2">
      <c r="C109" s="158"/>
      <c r="D109" s="160"/>
      <c r="E109" s="160"/>
      <c r="F109" s="160"/>
      <c r="G109" s="160"/>
      <c r="H109" s="160"/>
      <c r="I109" s="160"/>
      <c r="J109" s="160"/>
      <c r="K109" s="160"/>
      <c r="L109" s="160"/>
      <c r="M109" s="160"/>
      <c r="N109" s="161"/>
    </row>
    <row r="110" spans="3:14" ht="12.75" x14ac:dyDescent="0.2">
      <c r="C110" s="156" t="s">
        <v>90</v>
      </c>
      <c r="D110" s="160"/>
      <c r="E110" s="160"/>
      <c r="F110" s="160"/>
      <c r="G110" s="160"/>
      <c r="H110" s="160"/>
      <c r="I110" s="160"/>
      <c r="J110" s="160"/>
      <c r="K110" s="160"/>
      <c r="L110" s="160"/>
      <c r="M110" s="160"/>
      <c r="N110" s="161"/>
    </row>
    <row r="111" spans="3:14" ht="15" x14ac:dyDescent="0.2">
      <c r="C111" s="158"/>
      <c r="D111" s="160"/>
      <c r="E111" s="160"/>
      <c r="F111" s="160"/>
      <c r="G111" s="160"/>
      <c r="H111" s="160"/>
      <c r="I111" s="160"/>
      <c r="J111" s="160"/>
      <c r="K111" s="160"/>
      <c r="L111" s="160"/>
      <c r="M111" s="160"/>
      <c r="N111" s="161"/>
    </row>
    <row r="112" spans="3:14" ht="12.75" x14ac:dyDescent="0.2">
      <c r="C112" s="156" t="s">
        <v>138</v>
      </c>
      <c r="D112" s="160"/>
      <c r="E112" s="160"/>
      <c r="F112" s="160"/>
      <c r="G112" s="160"/>
      <c r="H112" s="160"/>
      <c r="I112" s="160"/>
      <c r="J112" s="160"/>
      <c r="K112" s="160"/>
      <c r="L112" s="160"/>
      <c r="M112" s="160"/>
      <c r="N112" s="161"/>
    </row>
    <row r="113" spans="3:14" ht="12.75" x14ac:dyDescent="0.2">
      <c r="C113" s="156" t="s">
        <v>118</v>
      </c>
      <c r="D113" s="160"/>
      <c r="E113" s="160"/>
      <c r="F113" s="160"/>
      <c r="G113" s="160"/>
      <c r="H113" s="160"/>
      <c r="I113" s="160"/>
      <c r="J113" s="160"/>
      <c r="K113" s="160"/>
      <c r="L113" s="160"/>
      <c r="M113" s="160"/>
      <c r="N113" s="161"/>
    </row>
    <row r="114" spans="3:14" ht="12.75" x14ac:dyDescent="0.2">
      <c r="C114" s="156" t="s">
        <v>119</v>
      </c>
      <c r="D114" s="160"/>
      <c r="E114" s="160"/>
      <c r="F114" s="160"/>
      <c r="G114" s="160"/>
      <c r="H114" s="160"/>
      <c r="I114" s="160"/>
      <c r="J114" s="160"/>
      <c r="K114" s="160"/>
      <c r="L114" s="160"/>
      <c r="M114" s="160"/>
      <c r="N114" s="161"/>
    </row>
    <row r="115" spans="3:14" x14ac:dyDescent="0.2">
      <c r="C115" s="153"/>
      <c r="D115" s="154"/>
      <c r="E115" s="154"/>
      <c r="F115" s="154"/>
      <c r="G115" s="154"/>
      <c r="H115" s="154"/>
      <c r="I115" s="154"/>
      <c r="J115" s="154"/>
      <c r="K115" s="154"/>
      <c r="L115" s="154"/>
      <c r="M115" s="154"/>
      <c r="N115" s="155"/>
    </row>
    <row r="116" spans="3:14" x14ac:dyDescent="0.2">
      <c r="C116" s="153"/>
      <c r="D116" s="154"/>
      <c r="E116" s="154"/>
      <c r="F116" s="154"/>
      <c r="G116" s="154"/>
      <c r="H116" s="154"/>
      <c r="I116" s="154"/>
      <c r="J116" s="154"/>
      <c r="K116" s="154"/>
      <c r="L116" s="154"/>
      <c r="M116" s="154"/>
      <c r="N116" s="155"/>
    </row>
    <row r="117" spans="3:14" ht="12.75" x14ac:dyDescent="0.2">
      <c r="C117" s="156" t="s">
        <v>139</v>
      </c>
      <c r="D117" s="160"/>
      <c r="E117" s="160"/>
      <c r="F117" s="160"/>
      <c r="G117" s="160"/>
      <c r="H117" s="160"/>
      <c r="I117" s="160"/>
      <c r="J117" s="160"/>
      <c r="K117" s="154"/>
      <c r="L117" s="154"/>
      <c r="M117" s="154"/>
      <c r="N117" s="155"/>
    </row>
    <row r="118" spans="3:14" ht="12.75" x14ac:dyDescent="0.2">
      <c r="C118" s="156" t="s">
        <v>146</v>
      </c>
      <c r="D118" s="160"/>
      <c r="E118" s="160"/>
      <c r="F118" s="160"/>
      <c r="G118" s="160"/>
      <c r="H118" s="160"/>
      <c r="I118" s="160"/>
      <c r="J118" s="160"/>
      <c r="K118" s="154"/>
      <c r="L118" s="154"/>
      <c r="M118" s="154"/>
      <c r="N118" s="155"/>
    </row>
    <row r="119" spans="3:14" x14ac:dyDescent="0.2">
      <c r="C119" s="153"/>
      <c r="D119" s="154"/>
      <c r="E119" s="154"/>
      <c r="F119" s="154"/>
      <c r="G119" s="154"/>
      <c r="H119" s="154"/>
      <c r="I119" s="154"/>
      <c r="J119" s="154"/>
      <c r="K119" s="160"/>
      <c r="L119" s="160"/>
      <c r="M119" s="160"/>
      <c r="N119" s="161"/>
    </row>
    <row r="120" spans="3:14" x14ac:dyDescent="0.2">
      <c r="C120" s="153"/>
      <c r="D120" s="154"/>
      <c r="E120" s="154"/>
      <c r="F120" s="154"/>
      <c r="G120" s="154"/>
      <c r="H120" s="154"/>
      <c r="I120" s="154"/>
      <c r="J120" s="154"/>
      <c r="K120" s="154"/>
      <c r="L120" s="154"/>
      <c r="M120" s="154"/>
      <c r="N120" s="155"/>
    </row>
    <row r="121" spans="3:14" x14ac:dyDescent="0.2">
      <c r="C121" s="153"/>
      <c r="D121" s="154"/>
      <c r="E121" s="154"/>
      <c r="F121" s="154"/>
      <c r="G121" s="154"/>
      <c r="H121" s="154"/>
      <c r="I121" s="154"/>
      <c r="J121" s="154"/>
      <c r="K121" s="154"/>
      <c r="L121" s="154"/>
      <c r="M121" s="154"/>
      <c r="N121" s="155"/>
    </row>
    <row r="122" spans="3:14" ht="12.75" x14ac:dyDescent="0.2">
      <c r="C122" s="197" t="s">
        <v>120</v>
      </c>
      <c r="D122" s="198"/>
      <c r="E122" s="198"/>
      <c r="F122" s="198"/>
      <c r="G122" s="198"/>
      <c r="H122" s="198"/>
      <c r="I122" s="198"/>
      <c r="J122" s="198"/>
      <c r="K122" s="198"/>
      <c r="L122" s="198"/>
      <c r="M122" s="198"/>
      <c r="N122" s="199"/>
    </row>
    <row r="123" spans="3:14" ht="12.75" x14ac:dyDescent="0.2">
      <c r="C123" s="197" t="s">
        <v>91</v>
      </c>
      <c r="D123" s="200"/>
      <c r="E123" s="200"/>
      <c r="F123" s="200"/>
      <c r="G123" s="200"/>
      <c r="H123" s="200"/>
      <c r="I123" s="200"/>
      <c r="J123" s="200"/>
      <c r="K123" s="200"/>
      <c r="L123" s="200"/>
      <c r="M123" s="200"/>
      <c r="N123" s="201"/>
    </row>
    <row r="124" spans="3:14" ht="12.75" x14ac:dyDescent="0.2">
      <c r="C124" s="197" t="s">
        <v>97</v>
      </c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1"/>
    </row>
    <row r="125" spans="3:14" ht="12.75" x14ac:dyDescent="0.2">
      <c r="C125" s="197" t="s">
        <v>154</v>
      </c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1"/>
    </row>
    <row r="126" spans="3:14" ht="12.75" x14ac:dyDescent="0.2">
      <c r="C126" s="197" t="s">
        <v>155</v>
      </c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1"/>
    </row>
    <row r="127" spans="3:14" ht="12.75" x14ac:dyDescent="0.2">
      <c r="C127" s="197" t="s">
        <v>100</v>
      </c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1"/>
    </row>
    <row r="128" spans="3:14" ht="12.75" x14ac:dyDescent="0.2">
      <c r="C128" s="197" t="s">
        <v>101</v>
      </c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1"/>
    </row>
    <row r="129" spans="3:14" ht="12.75" x14ac:dyDescent="0.2">
      <c r="C129" s="156" t="s">
        <v>156</v>
      </c>
      <c r="D129" s="160"/>
      <c r="E129" s="160"/>
      <c r="F129" s="160"/>
      <c r="G129" s="160"/>
      <c r="H129" s="160"/>
      <c r="I129" s="160"/>
      <c r="J129" s="160"/>
      <c r="K129" s="160"/>
      <c r="L129" s="160"/>
      <c r="M129" s="160"/>
      <c r="N129" s="161"/>
    </row>
    <row r="130" spans="3:14" x14ac:dyDescent="0.2">
      <c r="C130" s="153"/>
      <c r="D130" s="154"/>
      <c r="E130" s="154"/>
      <c r="F130" s="154"/>
      <c r="G130" s="154"/>
      <c r="H130" s="154"/>
      <c r="I130" s="154"/>
      <c r="J130" s="154"/>
      <c r="K130" s="154"/>
      <c r="L130" s="154"/>
      <c r="M130" s="154"/>
      <c r="N130" s="155"/>
    </row>
    <row r="131" spans="3:14" ht="12.75" x14ac:dyDescent="0.2">
      <c r="C131" s="156" t="s">
        <v>69</v>
      </c>
      <c r="D131" s="160"/>
      <c r="E131" s="160"/>
      <c r="F131" s="160"/>
      <c r="G131" s="160"/>
      <c r="H131" s="160"/>
      <c r="I131" s="160"/>
      <c r="J131" s="160"/>
      <c r="K131" s="160"/>
      <c r="L131" s="160"/>
      <c r="M131" s="160"/>
      <c r="N131" s="161"/>
    </row>
    <row r="132" spans="3:14" ht="12.75" x14ac:dyDescent="0.2">
      <c r="C132" s="156" t="s">
        <v>86</v>
      </c>
      <c r="D132" s="160"/>
      <c r="E132" s="160"/>
      <c r="F132" s="160"/>
      <c r="G132" s="160"/>
      <c r="H132" s="160"/>
      <c r="I132" s="160"/>
      <c r="J132" s="160"/>
      <c r="K132" s="160"/>
      <c r="L132" s="160"/>
      <c r="M132" s="160"/>
      <c r="N132" s="161"/>
    </row>
    <row r="133" spans="3:14" ht="12.75" x14ac:dyDescent="0.2">
      <c r="C133" s="156" t="s">
        <v>128</v>
      </c>
      <c r="D133" s="160"/>
      <c r="E133" s="160"/>
      <c r="F133" s="160"/>
      <c r="G133" s="160"/>
      <c r="H133" s="160"/>
      <c r="I133" s="160"/>
      <c r="J133" s="160"/>
      <c r="K133" s="160"/>
      <c r="L133" s="160"/>
      <c r="M133" s="160"/>
      <c r="N133" s="161"/>
    </row>
    <row r="134" spans="3:14" ht="12.75" x14ac:dyDescent="0.2">
      <c r="C134" s="156" t="s">
        <v>70</v>
      </c>
      <c r="D134" s="160"/>
      <c r="E134" s="160"/>
      <c r="F134" s="160"/>
      <c r="G134" s="160"/>
      <c r="H134" s="160"/>
      <c r="I134" s="160"/>
      <c r="J134" s="160"/>
      <c r="K134" s="160"/>
      <c r="L134" s="160"/>
      <c r="M134" s="160"/>
      <c r="N134" s="161"/>
    </row>
    <row r="135" spans="3:14" ht="12.75" x14ac:dyDescent="0.2">
      <c r="C135" s="156" t="s">
        <v>123</v>
      </c>
      <c r="D135" s="160"/>
      <c r="E135" s="160"/>
      <c r="F135" s="160"/>
      <c r="G135" s="160"/>
      <c r="H135" s="160"/>
      <c r="I135" s="160"/>
      <c r="J135" s="160"/>
      <c r="K135" s="160"/>
      <c r="L135" s="160"/>
      <c r="M135" s="160"/>
      <c r="N135" s="161"/>
    </row>
    <row r="136" spans="3:14" ht="12.75" x14ac:dyDescent="0.2">
      <c r="C136" s="156" t="s">
        <v>102</v>
      </c>
      <c r="D136" s="160"/>
      <c r="E136" s="160"/>
      <c r="F136" s="160"/>
      <c r="G136" s="160"/>
      <c r="H136" s="160"/>
      <c r="I136" s="160"/>
      <c r="J136" s="160"/>
      <c r="K136" s="160"/>
      <c r="L136" s="160"/>
      <c r="M136" s="160"/>
      <c r="N136" s="161"/>
    </row>
    <row r="137" spans="3:14" x14ac:dyDescent="0.2">
      <c r="C137" s="153"/>
      <c r="D137" s="154"/>
      <c r="E137" s="154"/>
      <c r="F137" s="154"/>
      <c r="G137" s="154"/>
      <c r="H137" s="154"/>
      <c r="I137" s="154"/>
      <c r="J137" s="154"/>
      <c r="K137" s="154"/>
      <c r="L137" s="154"/>
      <c r="M137" s="154"/>
      <c r="N137" s="155"/>
    </row>
    <row r="138" spans="3:14" x14ac:dyDescent="0.2">
      <c r="C138" s="153"/>
      <c r="D138" s="154"/>
      <c r="E138" s="154"/>
      <c r="F138" s="154"/>
      <c r="G138" s="154"/>
      <c r="H138" s="154"/>
      <c r="I138" s="154"/>
      <c r="J138" s="154"/>
      <c r="K138" s="154"/>
      <c r="L138" s="154"/>
      <c r="M138" s="154"/>
      <c r="N138" s="155"/>
    </row>
    <row r="139" spans="3:14" ht="12.75" x14ac:dyDescent="0.2">
      <c r="C139" s="156" t="s">
        <v>71</v>
      </c>
      <c r="D139" s="160"/>
      <c r="E139" s="160"/>
      <c r="F139" s="160"/>
      <c r="G139" s="160"/>
      <c r="H139" s="160"/>
      <c r="I139" s="160"/>
      <c r="J139" s="160"/>
      <c r="K139" s="160"/>
      <c r="L139" s="160"/>
      <c r="M139" s="160"/>
      <c r="N139" s="161"/>
    </row>
    <row r="140" spans="3:14" ht="12.75" x14ac:dyDescent="0.2">
      <c r="C140" s="156" t="s">
        <v>72</v>
      </c>
      <c r="D140" s="160"/>
      <c r="E140" s="160"/>
      <c r="F140" s="160"/>
      <c r="G140" s="160"/>
      <c r="H140" s="160"/>
      <c r="I140" s="160"/>
      <c r="J140" s="160"/>
      <c r="K140" s="160"/>
      <c r="L140" s="160"/>
      <c r="M140" s="160"/>
      <c r="N140" s="161"/>
    </row>
    <row r="141" spans="3:14" ht="12.75" x14ac:dyDescent="0.2">
      <c r="C141" s="156" t="s">
        <v>103</v>
      </c>
      <c r="D141" s="160"/>
      <c r="E141" s="160"/>
      <c r="F141" s="160"/>
      <c r="G141" s="160"/>
      <c r="H141" s="160"/>
      <c r="I141" s="160"/>
      <c r="J141" s="160"/>
      <c r="K141" s="160"/>
      <c r="L141" s="160"/>
      <c r="M141" s="160"/>
      <c r="N141" s="161"/>
    </row>
    <row r="142" spans="3:14" ht="12.75" x14ac:dyDescent="0.2">
      <c r="C142" s="156" t="s">
        <v>104</v>
      </c>
      <c r="D142" s="160"/>
      <c r="E142" s="160"/>
      <c r="F142" s="160"/>
      <c r="G142" s="160"/>
      <c r="H142" s="160"/>
      <c r="I142" s="160"/>
      <c r="J142" s="160"/>
      <c r="K142" s="160"/>
      <c r="L142" s="160"/>
      <c r="M142" s="160"/>
      <c r="N142" s="161"/>
    </row>
    <row r="143" spans="3:14" ht="12.75" x14ac:dyDescent="0.2">
      <c r="C143" s="156" t="s">
        <v>105</v>
      </c>
      <c r="D143" s="160"/>
      <c r="E143" s="160"/>
      <c r="F143" s="160"/>
      <c r="G143" s="160"/>
      <c r="H143" s="160"/>
      <c r="I143" s="160"/>
      <c r="J143" s="160"/>
      <c r="K143" s="160"/>
      <c r="L143" s="160"/>
      <c r="M143" s="160"/>
      <c r="N143" s="161"/>
    </row>
    <row r="144" spans="3:14" ht="12.75" x14ac:dyDescent="0.2">
      <c r="C144" s="156" t="s">
        <v>73</v>
      </c>
      <c r="D144" s="160"/>
      <c r="E144" s="160"/>
      <c r="F144" s="160"/>
      <c r="G144" s="160"/>
      <c r="H144" s="160"/>
      <c r="I144" s="160"/>
      <c r="J144" s="160"/>
      <c r="K144" s="160"/>
      <c r="L144" s="160"/>
      <c r="M144" s="160"/>
      <c r="N144" s="161"/>
    </row>
    <row r="145" spans="3:24" x14ac:dyDescent="0.2">
      <c r="C145" s="153"/>
      <c r="D145" s="154"/>
      <c r="E145" s="154"/>
      <c r="F145" s="154"/>
      <c r="G145" s="154"/>
      <c r="H145" s="154"/>
      <c r="I145" s="154"/>
      <c r="J145" s="154"/>
      <c r="K145" s="154"/>
      <c r="L145" s="154"/>
      <c r="M145" s="154"/>
      <c r="N145" s="155"/>
    </row>
    <row r="146" spans="3:24" x14ac:dyDescent="0.2">
      <c r="C146" s="153"/>
      <c r="D146" s="154"/>
      <c r="E146" s="154"/>
      <c r="F146" s="154"/>
      <c r="G146" s="154"/>
      <c r="H146" s="154"/>
      <c r="I146" s="154"/>
      <c r="J146" s="154"/>
      <c r="K146" s="154"/>
      <c r="L146" s="154"/>
      <c r="M146" s="154"/>
      <c r="N146" s="155"/>
    </row>
    <row r="147" spans="3:24" ht="12.75" x14ac:dyDescent="0.2">
      <c r="C147" s="156" t="s">
        <v>74</v>
      </c>
      <c r="D147" s="160"/>
      <c r="E147" s="160"/>
      <c r="F147" s="160"/>
      <c r="G147" s="160"/>
      <c r="H147" s="160"/>
      <c r="I147" s="160"/>
      <c r="J147" s="160"/>
      <c r="K147" s="160"/>
      <c r="L147" s="160"/>
      <c r="M147" s="160"/>
      <c r="N147" s="161"/>
    </row>
    <row r="148" spans="3:24" ht="12.75" x14ac:dyDescent="0.2">
      <c r="C148" s="156" t="s">
        <v>158</v>
      </c>
      <c r="D148" s="160"/>
      <c r="E148" s="160"/>
      <c r="F148" s="160"/>
      <c r="G148" s="160"/>
      <c r="H148" s="160"/>
      <c r="I148" s="160"/>
      <c r="J148" s="160"/>
      <c r="K148" s="160"/>
      <c r="L148" s="160"/>
      <c r="M148" s="160"/>
      <c r="N148" s="161"/>
    </row>
    <row r="149" spans="3:24" ht="12.75" x14ac:dyDescent="0.2">
      <c r="C149" s="156" t="s">
        <v>157</v>
      </c>
      <c r="D149" s="160"/>
      <c r="E149" s="160"/>
      <c r="F149" s="160"/>
      <c r="G149" s="160"/>
      <c r="H149" s="160"/>
      <c r="I149" s="160"/>
      <c r="J149" s="160"/>
      <c r="K149" s="160"/>
      <c r="L149" s="160"/>
      <c r="M149" s="160"/>
      <c r="N149" s="161"/>
    </row>
    <row r="150" spans="3:24" ht="12.75" x14ac:dyDescent="0.2">
      <c r="C150" s="156" t="s">
        <v>74</v>
      </c>
      <c r="D150" s="160"/>
      <c r="E150" s="160"/>
      <c r="F150" s="160"/>
      <c r="G150" s="160"/>
      <c r="H150" s="160"/>
      <c r="I150" s="160"/>
      <c r="J150" s="160"/>
      <c r="K150" s="160"/>
      <c r="L150" s="160"/>
      <c r="M150" s="160"/>
      <c r="N150" s="161"/>
    </row>
    <row r="151" spans="3:24" ht="15" x14ac:dyDescent="0.2">
      <c r="C151" s="158"/>
      <c r="D151" s="160"/>
      <c r="E151" s="160"/>
      <c r="F151" s="160"/>
      <c r="G151" s="160"/>
      <c r="H151" s="160"/>
      <c r="I151" s="160"/>
      <c r="J151" s="160"/>
      <c r="K151" s="160"/>
      <c r="L151" s="160"/>
      <c r="M151" s="160"/>
      <c r="N151" s="161"/>
    </row>
    <row r="152" spans="3:24" ht="12.75" x14ac:dyDescent="0.2">
      <c r="C152" s="156" t="s">
        <v>124</v>
      </c>
      <c r="D152" s="160"/>
      <c r="E152" s="160"/>
      <c r="F152" s="160"/>
      <c r="G152" s="160"/>
      <c r="H152" s="160"/>
      <c r="I152" s="160"/>
      <c r="J152" s="160"/>
      <c r="K152" s="160"/>
      <c r="L152" s="160"/>
      <c r="M152" s="160"/>
      <c r="N152" s="161"/>
    </row>
    <row r="153" spans="3:24" ht="12.75" x14ac:dyDescent="0.2">
      <c r="C153" s="156" t="s">
        <v>76</v>
      </c>
      <c r="D153" s="160"/>
      <c r="E153" s="160"/>
      <c r="F153" s="160"/>
      <c r="G153" s="160"/>
      <c r="H153" s="160"/>
      <c r="I153" s="160"/>
      <c r="J153" s="160"/>
      <c r="K153" s="160"/>
      <c r="L153" s="160"/>
      <c r="M153" s="160"/>
      <c r="N153" s="161"/>
    </row>
    <row r="154" spans="3:24" ht="12.75" x14ac:dyDescent="0.2">
      <c r="C154" s="156" t="s">
        <v>77</v>
      </c>
      <c r="D154" s="160"/>
      <c r="E154" s="160"/>
      <c r="F154" s="160"/>
      <c r="G154" s="160"/>
      <c r="H154" s="160"/>
      <c r="I154" s="160"/>
      <c r="J154" s="160"/>
      <c r="K154" s="160"/>
      <c r="L154" s="160"/>
      <c r="M154" s="160"/>
      <c r="N154" s="161"/>
    </row>
    <row r="155" spans="3:24" ht="12.75" x14ac:dyDescent="0.2">
      <c r="C155" s="156" t="s">
        <v>78</v>
      </c>
      <c r="D155" s="160"/>
      <c r="E155" s="160"/>
      <c r="F155" s="160"/>
      <c r="G155" s="160"/>
      <c r="H155" s="160"/>
      <c r="I155" s="160"/>
      <c r="J155" s="160"/>
      <c r="K155" s="160"/>
      <c r="L155" s="160"/>
      <c r="M155" s="160"/>
      <c r="N155" s="161"/>
    </row>
    <row r="156" spans="3:24" ht="12.75" x14ac:dyDescent="0.2">
      <c r="C156" s="156" t="s">
        <v>79</v>
      </c>
      <c r="D156" s="160"/>
      <c r="E156" s="160"/>
      <c r="F156" s="160"/>
      <c r="G156" s="160"/>
      <c r="H156" s="160"/>
      <c r="I156" s="160"/>
      <c r="J156" s="160"/>
      <c r="K156" s="160"/>
      <c r="L156" s="160"/>
      <c r="M156" s="160"/>
      <c r="N156" s="161"/>
    </row>
    <row r="157" spans="3:24" ht="12.75" x14ac:dyDescent="0.2">
      <c r="C157" s="156" t="s">
        <v>106</v>
      </c>
      <c r="D157" s="160"/>
      <c r="E157" s="160"/>
      <c r="F157" s="160"/>
      <c r="G157" s="160"/>
      <c r="H157" s="160"/>
      <c r="I157" s="160"/>
      <c r="J157" s="160"/>
      <c r="K157" s="160"/>
      <c r="L157" s="160"/>
      <c r="M157" s="160"/>
      <c r="N157" s="161"/>
      <c r="O157" s="154"/>
      <c r="P157" s="154"/>
      <c r="Q157" s="154"/>
      <c r="R157" s="154"/>
      <c r="S157" s="154"/>
      <c r="T157" s="154"/>
      <c r="U157" s="154"/>
      <c r="V157" s="154"/>
      <c r="W157" s="154"/>
      <c r="X157" s="154"/>
    </row>
    <row r="158" spans="3:24" ht="15" x14ac:dyDescent="0.2">
      <c r="C158" s="158"/>
      <c r="D158" s="160"/>
      <c r="E158" s="160"/>
      <c r="F158" s="160"/>
      <c r="G158" s="160"/>
      <c r="H158" s="160"/>
      <c r="I158" s="160"/>
      <c r="J158" s="160"/>
      <c r="K158" s="160"/>
      <c r="L158" s="160"/>
      <c r="M158" s="160"/>
      <c r="N158" s="161"/>
      <c r="O158" s="154"/>
      <c r="P158" s="154"/>
      <c r="Q158" s="154"/>
      <c r="R158" s="154"/>
      <c r="S158" s="154"/>
      <c r="T158" s="154"/>
      <c r="U158" s="154"/>
      <c r="V158" s="154"/>
      <c r="W158" s="154"/>
      <c r="X158" s="154"/>
    </row>
    <row r="159" spans="3:24" x14ac:dyDescent="0.2">
      <c r="C159" s="153"/>
      <c r="D159" s="154"/>
      <c r="E159" s="154"/>
      <c r="F159" s="154"/>
      <c r="G159" s="154"/>
      <c r="H159" s="154"/>
      <c r="I159" s="154"/>
      <c r="J159" s="154"/>
      <c r="K159" s="154"/>
      <c r="L159" s="154"/>
      <c r="M159" s="154"/>
      <c r="N159" s="155"/>
      <c r="O159" s="154"/>
      <c r="P159" s="154"/>
      <c r="Q159" s="154"/>
      <c r="R159" s="154"/>
      <c r="S159" s="154"/>
      <c r="T159" s="154"/>
      <c r="U159" s="154"/>
      <c r="V159" s="154"/>
      <c r="W159" s="154"/>
      <c r="X159" s="154"/>
    </row>
    <row r="160" spans="3:24" ht="15" x14ac:dyDescent="0.2">
      <c r="C160" s="158"/>
      <c r="D160" s="160"/>
      <c r="E160" s="160"/>
      <c r="F160" s="160"/>
      <c r="G160" s="160"/>
      <c r="H160" s="160"/>
      <c r="I160" s="160"/>
      <c r="J160" s="160"/>
      <c r="K160" s="160"/>
      <c r="L160" s="160"/>
      <c r="M160" s="160"/>
      <c r="N160" s="161"/>
      <c r="O160" s="154"/>
      <c r="P160" s="154"/>
      <c r="Q160" s="154"/>
      <c r="R160" s="154"/>
      <c r="S160" s="154"/>
      <c r="T160" s="154"/>
      <c r="U160" s="154"/>
      <c r="V160" s="154"/>
      <c r="W160" s="154"/>
      <c r="X160" s="154"/>
    </row>
    <row r="161" spans="3:24" ht="12.75" x14ac:dyDescent="0.2">
      <c r="C161" s="156" t="s">
        <v>141</v>
      </c>
      <c r="D161" s="160"/>
      <c r="E161" s="160"/>
      <c r="F161" s="160"/>
      <c r="G161" s="160"/>
      <c r="H161" s="160"/>
      <c r="I161" s="160"/>
      <c r="J161" s="160"/>
      <c r="K161" s="160"/>
      <c r="L161" s="160"/>
      <c r="M161" s="160"/>
      <c r="N161" s="161"/>
      <c r="O161" s="154"/>
      <c r="P161" s="154"/>
      <c r="Q161" s="154"/>
      <c r="R161" s="154"/>
      <c r="S161" s="154"/>
      <c r="T161" s="154"/>
      <c r="U161" s="154"/>
      <c r="V161" s="154"/>
      <c r="W161" s="154"/>
      <c r="X161" s="154"/>
    </row>
    <row r="162" spans="3:24" ht="15" x14ac:dyDescent="0.2">
      <c r="C162" s="158"/>
      <c r="D162" s="160"/>
      <c r="E162" s="160"/>
      <c r="F162" s="160"/>
      <c r="G162" s="160"/>
      <c r="H162" s="160"/>
      <c r="I162" s="160"/>
      <c r="J162" s="160"/>
      <c r="K162" s="160"/>
      <c r="L162" s="160"/>
      <c r="M162" s="160"/>
      <c r="N162" s="161"/>
      <c r="O162" s="154"/>
      <c r="P162" s="154"/>
      <c r="Q162" s="154"/>
      <c r="R162" s="154"/>
      <c r="S162" s="154"/>
      <c r="T162" s="154"/>
      <c r="U162" s="154"/>
      <c r="V162" s="154"/>
      <c r="W162" s="154"/>
      <c r="X162" s="154"/>
    </row>
    <row r="163" spans="3:24" ht="12.75" x14ac:dyDescent="0.2">
      <c r="C163" s="156" t="s">
        <v>159</v>
      </c>
      <c r="D163" s="160"/>
      <c r="E163" s="160"/>
      <c r="F163" s="160"/>
      <c r="G163" s="160"/>
      <c r="H163" s="160"/>
      <c r="I163" s="160"/>
      <c r="J163" s="160"/>
      <c r="K163" s="160"/>
      <c r="L163" s="160"/>
      <c r="M163" s="160"/>
      <c r="N163" s="161"/>
      <c r="O163" s="154"/>
      <c r="P163" s="154"/>
      <c r="Q163" s="154"/>
      <c r="R163" s="154"/>
      <c r="S163" s="154"/>
      <c r="T163" s="154"/>
      <c r="U163" s="154"/>
      <c r="V163" s="154"/>
      <c r="W163" s="154"/>
      <c r="X163" s="154"/>
    </row>
    <row r="164" spans="3:24" ht="12.75" x14ac:dyDescent="0.2">
      <c r="C164" s="156" t="s">
        <v>160</v>
      </c>
      <c r="D164" s="160"/>
      <c r="E164" s="160"/>
      <c r="F164" s="160"/>
      <c r="G164" s="160"/>
      <c r="H164" s="160"/>
      <c r="I164" s="160"/>
      <c r="J164" s="160"/>
      <c r="K164" s="160"/>
      <c r="L164" s="160"/>
      <c r="M164" s="160"/>
      <c r="N164" s="161"/>
      <c r="O164" s="154"/>
      <c r="P164" s="154"/>
      <c r="Q164" s="154"/>
      <c r="R164" s="154"/>
      <c r="S164" s="154"/>
      <c r="T164" s="154"/>
      <c r="U164" s="154"/>
      <c r="V164" s="154"/>
      <c r="W164" s="154"/>
      <c r="X164" s="154"/>
    </row>
    <row r="165" spans="3:24" x14ac:dyDescent="0.2">
      <c r="C165" s="173"/>
      <c r="D165" s="169"/>
      <c r="E165" s="169"/>
      <c r="F165" s="169"/>
      <c r="G165" s="169"/>
      <c r="H165" s="169"/>
      <c r="I165" s="169"/>
      <c r="J165" s="169"/>
      <c r="K165" s="169"/>
      <c r="L165" s="169"/>
      <c r="M165" s="154"/>
      <c r="N165" s="155"/>
      <c r="O165" s="154"/>
      <c r="P165" s="154"/>
      <c r="Q165" s="154"/>
      <c r="R165" s="154"/>
      <c r="S165" s="154"/>
      <c r="T165" s="154"/>
      <c r="U165" s="154"/>
      <c r="V165" s="154"/>
      <c r="W165" s="154"/>
      <c r="X165" s="154"/>
    </row>
    <row r="166" spans="3:24" x14ac:dyDescent="0.2">
      <c r="C166" s="153"/>
      <c r="D166" s="154"/>
      <c r="E166" s="154"/>
      <c r="F166" s="154"/>
      <c r="G166" s="154"/>
      <c r="H166" s="154"/>
      <c r="I166" s="154"/>
      <c r="J166" s="154"/>
      <c r="K166" s="154"/>
      <c r="L166" s="154"/>
      <c r="M166" s="154"/>
      <c r="N166" s="155"/>
      <c r="O166" s="154"/>
      <c r="P166" s="154"/>
      <c r="Q166" s="154"/>
      <c r="R166" s="154"/>
      <c r="S166" s="154"/>
      <c r="T166" s="154"/>
      <c r="U166" s="154"/>
      <c r="V166" s="154"/>
      <c r="W166" s="154"/>
      <c r="X166" s="154"/>
    </row>
    <row r="167" spans="3:24" ht="12.75" x14ac:dyDescent="0.2">
      <c r="C167" s="156" t="s">
        <v>88</v>
      </c>
      <c r="D167" s="160"/>
      <c r="E167" s="160"/>
      <c r="F167" s="160"/>
      <c r="G167" s="160"/>
      <c r="H167" s="160"/>
      <c r="I167" s="160"/>
      <c r="J167" s="160"/>
      <c r="K167" s="160"/>
      <c r="L167" s="160"/>
      <c r="M167" s="160"/>
      <c r="N167" s="161"/>
      <c r="O167" s="154"/>
      <c r="P167" s="154"/>
      <c r="Q167" s="154"/>
      <c r="R167" s="154"/>
      <c r="S167" s="154"/>
      <c r="T167" s="154"/>
      <c r="U167" s="154"/>
      <c r="V167" s="154"/>
      <c r="W167" s="154"/>
      <c r="X167" s="154"/>
    </row>
    <row r="168" spans="3:24" ht="12.75" x14ac:dyDescent="0.2">
      <c r="C168" s="156" t="s">
        <v>125</v>
      </c>
      <c r="D168" s="160"/>
      <c r="E168" s="160"/>
      <c r="F168" s="196"/>
      <c r="G168" s="196"/>
      <c r="H168" s="196"/>
      <c r="I168" s="195"/>
      <c r="J168" s="195"/>
      <c r="K168" s="195"/>
      <c r="L168" s="195"/>
      <c r="M168" s="160"/>
      <c r="N168" s="161"/>
      <c r="O168" s="154"/>
      <c r="P168" s="154"/>
      <c r="Q168" s="154"/>
      <c r="R168" s="154"/>
      <c r="S168" s="154"/>
      <c r="T168" s="154"/>
      <c r="U168" s="154"/>
      <c r="V168" s="154"/>
      <c r="W168" s="154"/>
      <c r="X168" s="154"/>
    </row>
    <row r="169" spans="3:24" ht="12.75" x14ac:dyDescent="0.2">
      <c r="C169" s="156" t="s">
        <v>88</v>
      </c>
      <c r="D169" s="160"/>
      <c r="E169" s="160"/>
      <c r="F169" s="196"/>
      <c r="G169" s="196"/>
      <c r="H169" s="196"/>
      <c r="I169" s="195"/>
      <c r="J169" s="195"/>
      <c r="K169" s="195"/>
      <c r="L169" s="195"/>
      <c r="M169" s="160"/>
      <c r="N169" s="161"/>
      <c r="O169" s="154"/>
      <c r="P169" s="154"/>
      <c r="Q169" s="154"/>
      <c r="R169" s="154"/>
      <c r="S169" s="154"/>
      <c r="T169" s="154"/>
      <c r="U169" s="154"/>
      <c r="V169" s="154"/>
      <c r="W169" s="154"/>
      <c r="X169" s="154"/>
    </row>
    <row r="170" spans="3:24" ht="12.75" x14ac:dyDescent="0.2">
      <c r="C170" s="156" t="s">
        <v>149</v>
      </c>
      <c r="D170" s="160"/>
      <c r="E170" s="160"/>
      <c r="F170" s="196"/>
      <c r="G170" s="196"/>
      <c r="H170" s="196"/>
      <c r="I170" s="195"/>
      <c r="J170" s="195"/>
      <c r="K170" s="195"/>
      <c r="L170" s="195"/>
      <c r="M170" s="160"/>
      <c r="N170" s="161"/>
      <c r="O170" s="154"/>
      <c r="P170" s="154"/>
      <c r="Q170" s="154"/>
      <c r="R170" s="154"/>
      <c r="S170" s="154"/>
      <c r="T170" s="154"/>
      <c r="U170" s="154"/>
      <c r="V170" s="154"/>
      <c r="W170" s="154"/>
      <c r="X170" s="154"/>
    </row>
    <row r="171" spans="3:24" ht="12.75" x14ac:dyDescent="0.2">
      <c r="C171" s="156" t="s">
        <v>151</v>
      </c>
      <c r="D171" s="160"/>
      <c r="E171" s="160"/>
      <c r="F171" s="196"/>
      <c r="G171" s="196"/>
      <c r="H171" s="196"/>
      <c r="I171" s="195"/>
      <c r="J171" s="195"/>
      <c r="K171" s="195"/>
      <c r="L171" s="195"/>
      <c r="M171" s="160"/>
      <c r="N171" s="161"/>
      <c r="O171" s="154"/>
      <c r="P171" s="154"/>
      <c r="Q171" s="154"/>
      <c r="R171" s="154"/>
      <c r="S171" s="154"/>
      <c r="T171" s="154"/>
      <c r="U171" s="154"/>
      <c r="V171" s="154"/>
      <c r="W171" s="154"/>
      <c r="X171" s="154"/>
    </row>
    <row r="172" spans="3:24" ht="12.75" x14ac:dyDescent="0.2">
      <c r="C172" s="156" t="s">
        <v>150</v>
      </c>
      <c r="D172" s="160"/>
      <c r="E172" s="160"/>
      <c r="F172" s="196"/>
      <c r="G172" s="196"/>
      <c r="H172" s="196"/>
      <c r="I172" s="195"/>
      <c r="J172" s="195"/>
      <c r="K172" s="195"/>
      <c r="L172" s="195"/>
      <c r="M172" s="160"/>
      <c r="N172" s="161"/>
      <c r="O172" s="154"/>
      <c r="P172" s="154"/>
      <c r="Q172" s="154"/>
      <c r="R172" s="154"/>
      <c r="S172" s="154"/>
      <c r="T172" s="154"/>
      <c r="U172" s="154"/>
      <c r="V172" s="154"/>
      <c r="W172" s="154"/>
      <c r="X172" s="154"/>
    </row>
    <row r="173" spans="3:24" ht="12.75" x14ac:dyDescent="0.2">
      <c r="C173" s="156" t="s">
        <v>153</v>
      </c>
      <c r="D173" s="160"/>
      <c r="E173" s="160"/>
      <c r="F173" s="196"/>
      <c r="G173" s="196"/>
      <c r="H173" s="196"/>
      <c r="I173" s="195"/>
      <c r="J173" s="195"/>
      <c r="K173" s="195"/>
      <c r="L173" s="195"/>
      <c r="M173" s="160"/>
      <c r="N173" s="161"/>
      <c r="O173" s="154"/>
      <c r="P173" s="154"/>
      <c r="Q173" s="154"/>
      <c r="R173" s="154"/>
      <c r="S173" s="154"/>
      <c r="T173" s="154"/>
      <c r="U173" s="154"/>
      <c r="V173" s="154"/>
      <c r="W173" s="154"/>
      <c r="X173" s="154"/>
    </row>
    <row r="174" spans="3:24" ht="12.75" x14ac:dyDescent="0.2">
      <c r="C174" s="156" t="s">
        <v>152</v>
      </c>
      <c r="D174" s="160"/>
      <c r="E174" s="160"/>
      <c r="F174" s="196"/>
      <c r="G174" s="196"/>
      <c r="H174" s="196"/>
      <c r="I174" s="195"/>
      <c r="J174" s="195"/>
      <c r="K174" s="195"/>
      <c r="L174" s="195"/>
      <c r="M174" s="160"/>
      <c r="N174" s="161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</row>
    <row r="175" spans="3:24" ht="12.75" x14ac:dyDescent="0.2">
      <c r="C175" s="156" t="s">
        <v>89</v>
      </c>
      <c r="D175" s="160"/>
      <c r="E175" s="160"/>
      <c r="F175" s="196"/>
      <c r="G175" s="196"/>
      <c r="H175" s="196"/>
      <c r="I175" s="195"/>
      <c r="J175" s="195"/>
      <c r="K175" s="195"/>
      <c r="L175" s="195"/>
      <c r="M175" s="160"/>
      <c r="N175" s="161"/>
      <c r="O175" s="154"/>
      <c r="P175" s="154"/>
      <c r="Q175" s="154"/>
      <c r="R175" s="154"/>
      <c r="S175" s="154"/>
      <c r="T175" s="154"/>
      <c r="U175" s="154"/>
      <c r="V175" s="154"/>
      <c r="W175" s="154"/>
      <c r="X175" s="154"/>
    </row>
    <row r="176" spans="3:24" x14ac:dyDescent="0.2">
      <c r="C176" s="153"/>
      <c r="D176" s="154"/>
      <c r="E176" s="154"/>
      <c r="F176" s="154"/>
      <c r="G176" s="154"/>
      <c r="H176" s="154"/>
      <c r="I176" s="154"/>
      <c r="J176" s="154"/>
      <c r="K176" s="154"/>
      <c r="L176" s="154"/>
      <c r="M176" s="154"/>
      <c r="N176" s="161"/>
      <c r="O176" s="154"/>
      <c r="P176" s="154"/>
      <c r="Q176" s="154"/>
      <c r="R176" s="154"/>
      <c r="S176" s="154"/>
      <c r="T176" s="154"/>
      <c r="U176" s="154"/>
      <c r="V176" s="154"/>
      <c r="W176" s="154"/>
      <c r="X176" s="154"/>
    </row>
    <row r="177" spans="3:24" ht="15" x14ac:dyDescent="0.2">
      <c r="C177" s="158"/>
      <c r="D177" s="160"/>
      <c r="E177" s="160"/>
      <c r="F177" s="160"/>
      <c r="G177" s="160"/>
      <c r="H177" s="160"/>
      <c r="I177" s="160"/>
      <c r="J177" s="160"/>
      <c r="K177" s="160"/>
      <c r="L177" s="160"/>
      <c r="M177" s="160"/>
      <c r="N177" s="161"/>
      <c r="O177" s="154"/>
      <c r="P177" s="154"/>
      <c r="Q177" s="154"/>
      <c r="R177" s="154"/>
      <c r="S177" s="154"/>
      <c r="T177" s="154"/>
      <c r="U177" s="154"/>
      <c r="V177" s="154"/>
      <c r="W177" s="154"/>
      <c r="X177" s="154"/>
    </row>
    <row r="178" spans="3:24" ht="12.75" x14ac:dyDescent="0.2">
      <c r="C178" s="174" t="s">
        <v>126</v>
      </c>
      <c r="D178" s="172"/>
      <c r="E178" s="172"/>
      <c r="F178" s="172"/>
      <c r="G178" s="172"/>
      <c r="H178" s="172"/>
      <c r="I178" s="172"/>
      <c r="J178" s="172"/>
      <c r="K178" s="172"/>
      <c r="L178" s="172"/>
      <c r="M178" s="160"/>
      <c r="N178" s="161"/>
      <c r="O178" s="154"/>
      <c r="P178" s="154"/>
      <c r="Q178" s="154"/>
      <c r="R178" s="154"/>
      <c r="S178" s="154"/>
      <c r="T178" s="154"/>
      <c r="U178" s="154"/>
      <c r="V178" s="154"/>
      <c r="W178" s="154"/>
      <c r="X178" s="154"/>
    </row>
    <row r="179" spans="3:24" ht="12.75" x14ac:dyDescent="0.2">
      <c r="C179" s="174"/>
      <c r="D179" s="172"/>
      <c r="E179" s="172"/>
      <c r="F179" s="172"/>
      <c r="G179" s="172"/>
      <c r="H179" s="172"/>
      <c r="I179" s="172"/>
      <c r="J179" s="172"/>
      <c r="K179" s="172"/>
      <c r="L179" s="172"/>
      <c r="M179" s="160"/>
      <c r="N179" s="161"/>
      <c r="O179" s="154"/>
      <c r="P179" s="154"/>
      <c r="Q179" s="154"/>
      <c r="R179" s="154"/>
      <c r="S179" s="154"/>
      <c r="T179" s="154"/>
      <c r="U179" s="154"/>
      <c r="V179" s="154"/>
      <c r="W179" s="154"/>
      <c r="X179" s="154"/>
    </row>
    <row r="180" spans="3:24" ht="12.75" x14ac:dyDescent="0.2">
      <c r="C180" s="194">
        <f>IF(ISNUMBER(SEARCH("|", L7)), MID(L7,FIND("|",L7,1)+1,LEN(L7)), L7)</f>
        <v>0</v>
      </c>
      <c r="D180" s="172"/>
      <c r="E180" s="172"/>
      <c r="F180" s="172"/>
      <c r="G180" s="172"/>
      <c r="H180" s="172"/>
      <c r="I180" s="172"/>
      <c r="J180" s="172"/>
      <c r="K180" s="172"/>
      <c r="L180" s="172"/>
      <c r="M180" s="160"/>
      <c r="N180" s="161"/>
      <c r="O180" s="154"/>
      <c r="P180" s="154"/>
      <c r="Q180" s="154"/>
      <c r="R180" s="154"/>
      <c r="S180" s="154"/>
      <c r="T180" s="154"/>
      <c r="U180" s="154"/>
      <c r="V180" s="154"/>
      <c r="W180" s="154"/>
      <c r="X180" s="154"/>
    </row>
    <row r="181" spans="3:24" ht="12.75" x14ac:dyDescent="0.2">
      <c r="C181" s="174"/>
      <c r="D181" s="172"/>
      <c r="E181" s="172"/>
      <c r="F181" s="172"/>
      <c r="G181" s="172"/>
      <c r="H181" s="172"/>
      <c r="I181" s="172"/>
      <c r="J181" s="172"/>
      <c r="K181" s="172"/>
      <c r="L181" s="172"/>
      <c r="M181" s="160"/>
      <c r="N181" s="161"/>
      <c r="O181" s="154"/>
      <c r="P181" s="154"/>
      <c r="Q181" s="154"/>
      <c r="R181" s="154"/>
      <c r="S181" s="154"/>
      <c r="T181" s="154"/>
      <c r="U181" s="154"/>
      <c r="V181" s="154"/>
      <c r="W181" s="154"/>
      <c r="X181" s="154"/>
    </row>
    <row r="182" spans="3:24" x14ac:dyDescent="0.2">
      <c r="C182" s="173"/>
      <c r="D182" s="169"/>
      <c r="E182" s="169"/>
      <c r="F182" s="169"/>
      <c r="G182" s="169"/>
      <c r="H182" s="169"/>
      <c r="I182" s="169"/>
      <c r="J182" s="169"/>
      <c r="K182" s="169"/>
      <c r="L182" s="169"/>
      <c r="M182" s="154"/>
      <c r="N182" s="155"/>
      <c r="O182" s="154"/>
      <c r="P182" s="154"/>
      <c r="Q182" s="154"/>
      <c r="R182" s="154"/>
      <c r="S182" s="154"/>
      <c r="T182" s="154"/>
      <c r="U182" s="154"/>
      <c r="V182" s="154"/>
      <c r="W182" s="154"/>
      <c r="X182" s="154"/>
    </row>
    <row r="183" spans="3:24" x14ac:dyDescent="0.2">
      <c r="C183" s="153"/>
      <c r="D183" s="154"/>
      <c r="E183" s="154"/>
      <c r="F183" s="154"/>
      <c r="G183" s="154"/>
      <c r="H183" s="154"/>
      <c r="I183" s="154"/>
      <c r="J183" s="154"/>
      <c r="K183" s="154"/>
      <c r="L183" s="154"/>
      <c r="M183" s="154"/>
      <c r="N183" s="155"/>
      <c r="O183" s="154"/>
      <c r="P183" s="154"/>
      <c r="Q183" s="154"/>
      <c r="R183" s="154"/>
      <c r="S183" s="154"/>
      <c r="T183" s="154"/>
      <c r="U183" s="154"/>
      <c r="V183" s="154"/>
      <c r="W183" s="154"/>
      <c r="X183" s="154"/>
    </row>
    <row r="184" spans="3:24" x14ac:dyDescent="0.2">
      <c r="C184" s="153"/>
      <c r="D184" s="154"/>
      <c r="E184" s="154"/>
      <c r="F184" s="154"/>
      <c r="G184" s="154"/>
      <c r="H184" s="154"/>
      <c r="I184" s="154"/>
      <c r="J184" s="154"/>
      <c r="K184" s="154"/>
      <c r="L184" s="154"/>
      <c r="M184" s="154"/>
      <c r="N184" s="155"/>
      <c r="O184" s="154"/>
      <c r="P184" s="154"/>
      <c r="Q184" s="154"/>
      <c r="R184" s="154"/>
      <c r="S184" s="154"/>
      <c r="T184" s="154"/>
      <c r="U184" s="154"/>
      <c r="V184" s="154"/>
      <c r="W184" s="154"/>
      <c r="X184" s="154"/>
    </row>
    <row r="185" spans="3:24" x14ac:dyDescent="0.2">
      <c r="C185" s="164"/>
      <c r="D185" s="165"/>
      <c r="E185" s="165"/>
      <c r="F185" s="165"/>
      <c r="G185" s="165"/>
      <c r="H185" s="165"/>
      <c r="I185" s="165"/>
      <c r="J185" s="165"/>
      <c r="K185" s="165"/>
      <c r="L185" s="165"/>
      <c r="M185" s="165"/>
      <c r="N185" s="166"/>
      <c r="O185" s="154"/>
      <c r="P185" s="154"/>
      <c r="Q185" s="154"/>
      <c r="R185" s="154"/>
      <c r="S185" s="154"/>
      <c r="T185" s="154"/>
      <c r="U185" s="154"/>
      <c r="V185" s="154"/>
      <c r="W185" s="154"/>
      <c r="X185" s="154"/>
    </row>
    <row r="186" spans="3:24" x14ac:dyDescent="0.2">
      <c r="M186" s="154"/>
      <c r="N186" s="154"/>
      <c r="O186" s="154"/>
      <c r="P186" s="154"/>
      <c r="Q186" s="154"/>
      <c r="R186" s="154"/>
      <c r="S186" s="154"/>
      <c r="T186" s="154"/>
      <c r="U186" s="154"/>
      <c r="V186" s="154"/>
      <c r="W186" s="154"/>
      <c r="X186" s="154"/>
    </row>
    <row r="187" spans="3:24" x14ac:dyDescent="0.2">
      <c r="C187" s="175"/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2"/>
    </row>
    <row r="188" spans="3:24" x14ac:dyDescent="0.2">
      <c r="C188" s="153"/>
      <c r="D188" s="154"/>
      <c r="E188" s="154"/>
      <c r="F188" s="154"/>
      <c r="G188" s="154"/>
      <c r="H188" s="154"/>
      <c r="I188" s="154"/>
      <c r="J188" s="154"/>
      <c r="K188" s="154"/>
      <c r="L188" s="154"/>
      <c r="M188" s="154"/>
      <c r="N188" s="155"/>
    </row>
    <row r="189" spans="3:24" x14ac:dyDescent="0.2">
      <c r="C189" s="153"/>
      <c r="D189" s="154"/>
      <c r="E189" s="154"/>
      <c r="F189" s="154"/>
      <c r="G189" s="154"/>
      <c r="H189" s="154"/>
      <c r="I189" s="154"/>
      <c r="J189" s="154"/>
      <c r="K189" s="154"/>
      <c r="L189" s="154"/>
      <c r="M189" s="154"/>
      <c r="N189" s="155"/>
    </row>
    <row r="190" spans="3:24" x14ac:dyDescent="0.2">
      <c r="C190" s="153"/>
      <c r="D190" s="154"/>
      <c r="E190" s="154"/>
      <c r="F190" s="154"/>
      <c r="G190" s="154"/>
      <c r="H190" s="154"/>
      <c r="I190" s="154"/>
      <c r="J190" s="154"/>
      <c r="K190" s="154"/>
      <c r="L190" s="154"/>
      <c r="M190" s="154"/>
      <c r="N190" s="155"/>
    </row>
    <row r="191" spans="3:24" x14ac:dyDescent="0.2">
      <c r="C191" s="153"/>
      <c r="D191" s="154"/>
      <c r="E191" s="154"/>
      <c r="F191" s="154"/>
      <c r="G191" s="154"/>
      <c r="H191" s="154"/>
      <c r="I191" s="154"/>
      <c r="J191" s="154"/>
      <c r="K191" s="154"/>
      <c r="L191" s="154"/>
      <c r="M191" s="154"/>
      <c r="N191" s="155"/>
    </row>
    <row r="192" spans="3:24" x14ac:dyDescent="0.2">
      <c r="C192" s="153"/>
      <c r="D192" s="154"/>
      <c r="E192" s="154"/>
      <c r="F192" s="154"/>
      <c r="G192" s="154"/>
      <c r="H192" s="154"/>
      <c r="I192" s="154"/>
      <c r="J192" s="154"/>
      <c r="K192" s="154"/>
      <c r="L192" s="154"/>
      <c r="M192" s="154"/>
      <c r="N192" s="155"/>
    </row>
    <row r="193" spans="3:14" x14ac:dyDescent="0.2">
      <c r="C193" s="153"/>
      <c r="D193" s="154"/>
      <c r="E193" s="154"/>
      <c r="F193" s="154"/>
      <c r="G193" s="154"/>
      <c r="H193" s="154"/>
      <c r="I193" s="154"/>
      <c r="J193" s="154"/>
      <c r="K193" s="154"/>
      <c r="L193" s="154"/>
      <c r="M193" s="154"/>
      <c r="N193" s="155"/>
    </row>
    <row r="194" spans="3:14" x14ac:dyDescent="0.2">
      <c r="C194" s="153"/>
      <c r="D194" s="154"/>
      <c r="E194" s="154"/>
      <c r="F194" s="154"/>
      <c r="G194" s="154"/>
      <c r="H194" s="154"/>
      <c r="I194" s="154"/>
      <c r="J194" s="154"/>
      <c r="K194" s="154"/>
      <c r="L194" s="154"/>
      <c r="M194" s="154"/>
      <c r="N194" s="155"/>
    </row>
    <row r="195" spans="3:14" x14ac:dyDescent="0.2">
      <c r="C195" s="153"/>
      <c r="D195" s="154"/>
      <c r="E195" s="154"/>
      <c r="F195" s="154"/>
      <c r="G195" s="154"/>
      <c r="H195" s="154"/>
      <c r="I195" s="154"/>
      <c r="J195" s="154"/>
      <c r="K195" s="154"/>
      <c r="L195" s="154"/>
      <c r="M195" s="154"/>
      <c r="N195" s="155"/>
    </row>
    <row r="196" spans="3:14" x14ac:dyDescent="0.2">
      <c r="C196" s="153"/>
      <c r="D196" s="154"/>
      <c r="E196" s="154"/>
      <c r="F196" s="154"/>
      <c r="G196" s="154"/>
      <c r="H196" s="154"/>
      <c r="I196" s="154"/>
      <c r="J196" s="154"/>
      <c r="K196" s="154"/>
      <c r="L196" s="154"/>
      <c r="M196" s="154"/>
      <c r="N196" s="155"/>
    </row>
    <row r="197" spans="3:14" x14ac:dyDescent="0.2">
      <c r="C197" s="153"/>
      <c r="D197" s="154"/>
      <c r="E197" s="154"/>
      <c r="F197" s="154"/>
      <c r="G197" s="154"/>
      <c r="H197" s="154"/>
      <c r="I197" s="154"/>
      <c r="J197" s="154"/>
      <c r="K197" s="154"/>
      <c r="L197" s="154"/>
      <c r="M197" s="154"/>
      <c r="N197" s="155"/>
    </row>
    <row r="198" spans="3:14" x14ac:dyDescent="0.2">
      <c r="C198" s="153"/>
      <c r="D198" s="154"/>
      <c r="E198" s="154"/>
      <c r="F198" s="154"/>
      <c r="G198" s="154"/>
      <c r="H198" s="154"/>
      <c r="I198" s="154"/>
      <c r="J198" s="154"/>
      <c r="K198" s="154"/>
      <c r="L198" s="154"/>
      <c r="M198" s="154"/>
      <c r="N198" s="155"/>
    </row>
    <row r="199" spans="3:14" x14ac:dyDescent="0.2">
      <c r="C199" s="153"/>
      <c r="D199" s="154"/>
      <c r="E199" s="154"/>
      <c r="F199" s="154"/>
      <c r="G199" s="154"/>
      <c r="H199" s="154"/>
      <c r="I199" s="154"/>
      <c r="J199" s="154"/>
      <c r="K199" s="154"/>
      <c r="L199" s="154"/>
      <c r="M199" s="154"/>
      <c r="N199" s="155"/>
    </row>
    <row r="200" spans="3:14" x14ac:dyDescent="0.2">
      <c r="C200" s="153"/>
      <c r="D200" s="154"/>
      <c r="E200" s="154"/>
      <c r="F200" s="154"/>
      <c r="G200" s="154"/>
      <c r="H200" s="154"/>
      <c r="I200" s="154"/>
      <c r="J200" s="154"/>
      <c r="K200" s="154"/>
      <c r="L200" s="154"/>
      <c r="M200" s="154"/>
      <c r="N200" s="155"/>
    </row>
    <row r="201" spans="3:14" x14ac:dyDescent="0.2">
      <c r="C201" s="153"/>
      <c r="D201" s="154"/>
      <c r="E201" s="154"/>
      <c r="F201" s="154"/>
      <c r="G201" s="154"/>
      <c r="H201" s="154"/>
      <c r="I201" s="154"/>
      <c r="J201" s="154"/>
      <c r="K201" s="154"/>
      <c r="L201" s="154"/>
      <c r="M201" s="154"/>
      <c r="N201" s="155"/>
    </row>
    <row r="202" spans="3:14" x14ac:dyDescent="0.2">
      <c r="C202" s="153"/>
      <c r="D202" s="154"/>
      <c r="E202" s="154"/>
      <c r="F202" s="154"/>
      <c r="G202" s="154"/>
      <c r="H202" s="154"/>
      <c r="I202" s="154"/>
      <c r="J202" s="154"/>
      <c r="K202" s="154"/>
      <c r="L202" s="154"/>
      <c r="M202" s="154"/>
      <c r="N202" s="155"/>
    </row>
    <row r="203" spans="3:14" x14ac:dyDescent="0.2">
      <c r="C203" s="153"/>
      <c r="D203" s="154"/>
      <c r="E203" s="154"/>
      <c r="F203" s="154"/>
      <c r="G203" s="154"/>
      <c r="H203" s="154"/>
      <c r="I203" s="154"/>
      <c r="J203" s="154"/>
      <c r="K203" s="154"/>
      <c r="L203" s="154"/>
      <c r="M203" s="154"/>
      <c r="N203" s="155"/>
    </row>
    <row r="204" spans="3:14" x14ac:dyDescent="0.2">
      <c r="C204" s="153"/>
      <c r="D204" s="154"/>
      <c r="E204" s="154"/>
      <c r="F204" s="154"/>
      <c r="G204" s="154"/>
      <c r="H204" s="154"/>
      <c r="I204" s="154"/>
      <c r="J204" s="154"/>
      <c r="K204" s="154"/>
      <c r="L204" s="154"/>
      <c r="M204" s="154"/>
      <c r="N204" s="155"/>
    </row>
    <row r="205" spans="3:14" x14ac:dyDescent="0.2">
      <c r="C205" s="153"/>
      <c r="D205" s="154"/>
      <c r="E205" s="154"/>
      <c r="F205" s="154"/>
      <c r="G205" s="154"/>
      <c r="H205" s="154"/>
      <c r="I205" s="154"/>
      <c r="J205" s="154"/>
      <c r="K205" s="154"/>
      <c r="L205" s="154"/>
      <c r="M205" s="154"/>
      <c r="N205" s="155"/>
    </row>
    <row r="206" spans="3:14" x14ac:dyDescent="0.2">
      <c r="C206" s="153"/>
      <c r="D206" s="154"/>
      <c r="E206" s="154"/>
      <c r="F206" s="154"/>
      <c r="G206" s="154"/>
      <c r="H206" s="154"/>
      <c r="I206" s="154"/>
      <c r="J206" s="154"/>
      <c r="K206" s="154"/>
      <c r="L206" s="154"/>
      <c r="M206" s="154"/>
      <c r="N206" s="155"/>
    </row>
    <row r="207" spans="3:14" x14ac:dyDescent="0.2">
      <c r="C207" s="153"/>
      <c r="D207" s="154"/>
      <c r="E207" s="154"/>
      <c r="F207" s="154"/>
      <c r="G207" s="154"/>
      <c r="H207" s="154"/>
      <c r="I207" s="154"/>
      <c r="J207" s="154"/>
      <c r="K207" s="154"/>
      <c r="L207" s="154"/>
      <c r="M207" s="154"/>
      <c r="N207" s="155"/>
    </row>
    <row r="208" spans="3:14" x14ac:dyDescent="0.2">
      <c r="C208" s="153"/>
      <c r="D208" s="154"/>
      <c r="E208" s="154"/>
      <c r="F208" s="154"/>
      <c r="G208" s="154"/>
      <c r="H208" s="154"/>
      <c r="I208" s="154"/>
      <c r="J208" s="154"/>
      <c r="K208" s="154"/>
      <c r="L208" s="154"/>
      <c r="M208" s="154"/>
      <c r="N208" s="155"/>
    </row>
    <row r="209" spans="3:14" x14ac:dyDescent="0.2">
      <c r="C209" s="153"/>
      <c r="D209" s="154"/>
      <c r="E209" s="154"/>
      <c r="F209" s="154"/>
      <c r="G209" s="154"/>
      <c r="H209" s="154"/>
      <c r="I209" s="154"/>
      <c r="J209" s="154"/>
      <c r="K209" s="154"/>
      <c r="L209" s="154"/>
      <c r="M209" s="154"/>
      <c r="N209" s="155"/>
    </row>
    <row r="210" spans="3:14" x14ac:dyDescent="0.2">
      <c r="C210" s="153"/>
      <c r="D210" s="154"/>
      <c r="E210" s="154"/>
      <c r="F210" s="154"/>
      <c r="G210" s="154"/>
      <c r="H210" s="154"/>
      <c r="I210" s="154"/>
      <c r="J210" s="154"/>
      <c r="K210" s="154"/>
      <c r="L210" s="154"/>
      <c r="M210" s="154"/>
      <c r="N210" s="155"/>
    </row>
    <row r="211" spans="3:14" x14ac:dyDescent="0.2">
      <c r="C211" s="153"/>
      <c r="D211" s="154"/>
      <c r="E211" s="154"/>
      <c r="F211" s="154"/>
      <c r="G211" s="154"/>
      <c r="H211" s="154"/>
      <c r="I211" s="154"/>
      <c r="J211" s="154"/>
      <c r="K211" s="154"/>
      <c r="L211" s="154"/>
      <c r="M211" s="154"/>
      <c r="N211" s="155"/>
    </row>
    <row r="212" spans="3:14" x14ac:dyDescent="0.2">
      <c r="C212" s="153"/>
      <c r="D212" s="154"/>
      <c r="E212" s="154"/>
      <c r="F212" s="154"/>
      <c r="G212" s="154"/>
      <c r="H212" s="154"/>
      <c r="I212" s="154"/>
      <c r="J212" s="154"/>
      <c r="K212" s="154"/>
      <c r="L212" s="154"/>
      <c r="M212" s="154"/>
      <c r="N212" s="155"/>
    </row>
    <row r="213" spans="3:14" x14ac:dyDescent="0.2">
      <c r="C213" s="153"/>
      <c r="D213" s="154"/>
      <c r="E213" s="154"/>
      <c r="F213" s="154"/>
      <c r="G213" s="154"/>
      <c r="H213" s="154"/>
      <c r="I213" s="154"/>
      <c r="J213" s="154"/>
      <c r="K213" s="154"/>
      <c r="L213" s="154"/>
      <c r="M213" s="154"/>
      <c r="N213" s="155"/>
    </row>
    <row r="214" spans="3:14" x14ac:dyDescent="0.2">
      <c r="C214" s="153"/>
      <c r="D214" s="154"/>
      <c r="E214" s="154"/>
      <c r="F214" s="154"/>
      <c r="G214" s="154"/>
      <c r="H214" s="154"/>
      <c r="I214" s="154"/>
      <c r="J214" s="154"/>
      <c r="K214" s="154"/>
      <c r="L214" s="154"/>
      <c r="M214" s="154"/>
      <c r="N214" s="155"/>
    </row>
    <row r="215" spans="3:14" x14ac:dyDescent="0.2">
      <c r="C215" s="153"/>
      <c r="D215" s="154"/>
      <c r="E215" s="154"/>
      <c r="F215" s="154"/>
      <c r="G215" s="154"/>
      <c r="H215" s="154"/>
      <c r="I215" s="154"/>
      <c r="J215" s="154"/>
      <c r="K215" s="154"/>
      <c r="L215" s="154"/>
      <c r="M215" s="154"/>
      <c r="N215" s="155"/>
    </row>
    <row r="216" spans="3:14" x14ac:dyDescent="0.2">
      <c r="C216" s="153"/>
      <c r="D216" s="154"/>
      <c r="E216" s="154"/>
      <c r="F216" s="154"/>
      <c r="G216" s="154"/>
      <c r="H216" s="154"/>
      <c r="I216" s="154"/>
      <c r="J216" s="154"/>
      <c r="K216" s="154"/>
      <c r="L216" s="154"/>
      <c r="M216" s="154"/>
      <c r="N216" s="155"/>
    </row>
    <row r="217" spans="3:14" x14ac:dyDescent="0.2">
      <c r="C217" s="153"/>
      <c r="D217" s="154"/>
      <c r="E217" s="154"/>
      <c r="F217" s="154"/>
      <c r="G217" s="154"/>
      <c r="H217" s="154"/>
      <c r="I217" s="154"/>
      <c r="J217" s="154"/>
      <c r="K217" s="154"/>
      <c r="L217" s="154"/>
      <c r="M217" s="154"/>
      <c r="N217" s="155"/>
    </row>
    <row r="218" spans="3:14" x14ac:dyDescent="0.2">
      <c r="C218" s="153"/>
      <c r="D218" s="154"/>
      <c r="E218" s="154"/>
      <c r="F218" s="154"/>
      <c r="G218" s="154"/>
      <c r="H218" s="154"/>
      <c r="I218" s="154"/>
      <c r="J218" s="154"/>
      <c r="K218" s="154"/>
      <c r="L218" s="154"/>
      <c r="M218" s="154"/>
      <c r="N218" s="155"/>
    </row>
    <row r="219" spans="3:14" x14ac:dyDescent="0.2">
      <c r="C219" s="153"/>
      <c r="D219" s="154"/>
      <c r="E219" s="154"/>
      <c r="F219" s="154"/>
      <c r="G219" s="154"/>
      <c r="H219" s="154"/>
      <c r="I219" s="154"/>
      <c r="J219" s="154"/>
      <c r="K219" s="154"/>
      <c r="L219" s="154"/>
      <c r="M219" s="154"/>
      <c r="N219" s="155"/>
    </row>
    <row r="220" spans="3:14" x14ac:dyDescent="0.2">
      <c r="C220" s="153"/>
      <c r="D220" s="154"/>
      <c r="E220" s="154"/>
      <c r="F220" s="154"/>
      <c r="G220" s="154"/>
      <c r="H220" s="154"/>
      <c r="I220" s="154"/>
      <c r="J220" s="154"/>
      <c r="K220" s="154"/>
      <c r="L220" s="154"/>
      <c r="M220" s="154"/>
      <c r="N220" s="155"/>
    </row>
    <row r="221" spans="3:14" x14ac:dyDescent="0.2">
      <c r="C221" s="164"/>
      <c r="D221" s="165"/>
      <c r="E221" s="165"/>
      <c r="F221" s="165"/>
      <c r="G221" s="165"/>
      <c r="H221" s="165"/>
      <c r="I221" s="165"/>
      <c r="J221" s="165"/>
      <c r="K221" s="165"/>
      <c r="L221" s="165"/>
      <c r="M221" s="165"/>
      <c r="N221" s="166"/>
    </row>
    <row r="223" spans="3:14" x14ac:dyDescent="0.2">
      <c r="C223" s="175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2"/>
    </row>
    <row r="224" spans="3:14" x14ac:dyDescent="0.2">
      <c r="C224" s="153"/>
      <c r="D224" s="154"/>
      <c r="E224" s="154"/>
      <c r="F224" s="154"/>
      <c r="G224" s="154"/>
      <c r="H224" s="154"/>
      <c r="I224" s="154"/>
      <c r="J224" s="154"/>
      <c r="K224" s="154"/>
      <c r="L224" s="154"/>
      <c r="M224" s="154"/>
      <c r="N224" s="155"/>
    </row>
    <row r="225" spans="3:14" x14ac:dyDescent="0.2">
      <c r="C225" s="153"/>
      <c r="D225" s="154"/>
      <c r="E225" s="154"/>
      <c r="F225" s="154"/>
      <c r="G225" s="154"/>
      <c r="H225" s="154"/>
      <c r="I225" s="154"/>
      <c r="J225" s="154"/>
      <c r="K225" s="154"/>
      <c r="L225" s="154"/>
      <c r="M225" s="154"/>
      <c r="N225" s="155"/>
    </row>
    <row r="226" spans="3:14" x14ac:dyDescent="0.2">
      <c r="C226" s="153"/>
      <c r="D226" s="154"/>
      <c r="E226" s="154"/>
      <c r="F226" s="154"/>
      <c r="G226" s="154"/>
      <c r="H226" s="154"/>
      <c r="I226" s="154"/>
      <c r="J226" s="154"/>
      <c r="K226" s="154"/>
      <c r="L226" s="154"/>
      <c r="M226" s="154"/>
      <c r="N226" s="155"/>
    </row>
    <row r="227" spans="3:14" x14ac:dyDescent="0.2">
      <c r="C227" s="153"/>
      <c r="D227" s="154"/>
      <c r="E227" s="154"/>
      <c r="F227" s="154"/>
      <c r="G227" s="154"/>
      <c r="H227" s="154"/>
      <c r="I227" s="154"/>
      <c r="J227" s="154"/>
      <c r="K227" s="154"/>
      <c r="L227" s="154"/>
      <c r="M227" s="154"/>
      <c r="N227" s="155"/>
    </row>
    <row r="228" spans="3:14" x14ac:dyDescent="0.2">
      <c r="C228" s="153"/>
      <c r="D228" s="154"/>
      <c r="E228" s="154"/>
      <c r="F228" s="154"/>
      <c r="G228" s="154"/>
      <c r="H228" s="154"/>
      <c r="I228" s="154"/>
      <c r="J228" s="154"/>
      <c r="K228" s="154"/>
      <c r="L228" s="154"/>
      <c r="M228" s="154"/>
      <c r="N228" s="155"/>
    </row>
    <row r="229" spans="3:14" x14ac:dyDescent="0.2">
      <c r="C229" s="153"/>
      <c r="D229" s="154"/>
      <c r="E229" s="154"/>
      <c r="F229" s="154"/>
      <c r="G229" s="154"/>
      <c r="H229" s="154"/>
      <c r="I229" s="154"/>
      <c r="J229" s="154"/>
      <c r="K229" s="154"/>
      <c r="L229" s="154"/>
      <c r="M229" s="154"/>
      <c r="N229" s="155"/>
    </row>
    <row r="230" spans="3:14" x14ac:dyDescent="0.2">
      <c r="C230" s="153"/>
      <c r="D230" s="154"/>
      <c r="E230" s="154"/>
      <c r="F230" s="154"/>
      <c r="G230" s="154"/>
      <c r="H230" s="154"/>
      <c r="I230" s="154"/>
      <c r="J230" s="154"/>
      <c r="K230" s="154"/>
      <c r="L230" s="154"/>
      <c r="M230" s="154"/>
      <c r="N230" s="155"/>
    </row>
    <row r="231" spans="3:14" x14ac:dyDescent="0.2">
      <c r="C231" s="153"/>
      <c r="D231" s="154"/>
      <c r="E231" s="154"/>
      <c r="F231" s="154"/>
      <c r="G231" s="154"/>
      <c r="H231" s="154"/>
      <c r="I231" s="154"/>
      <c r="J231" s="154"/>
      <c r="K231" s="154"/>
      <c r="L231" s="154"/>
      <c r="M231" s="154"/>
      <c r="N231" s="155"/>
    </row>
    <row r="232" spans="3:14" x14ac:dyDescent="0.2">
      <c r="C232" s="153"/>
      <c r="D232" s="154"/>
      <c r="E232" s="154"/>
      <c r="F232" s="154"/>
      <c r="G232" s="154"/>
      <c r="H232" s="154"/>
      <c r="I232" s="154"/>
      <c r="J232" s="154"/>
      <c r="K232" s="154"/>
      <c r="L232" s="154"/>
      <c r="M232" s="154"/>
      <c r="N232" s="155"/>
    </row>
    <row r="233" spans="3:14" x14ac:dyDescent="0.2">
      <c r="C233" s="153"/>
      <c r="D233" s="154"/>
      <c r="E233" s="154"/>
      <c r="F233" s="154"/>
      <c r="G233" s="154"/>
      <c r="H233" s="154"/>
      <c r="I233" s="154"/>
      <c r="J233" s="154"/>
      <c r="K233" s="154"/>
      <c r="L233" s="154"/>
      <c r="M233" s="154"/>
      <c r="N233" s="155"/>
    </row>
    <row r="234" spans="3:14" x14ac:dyDescent="0.2">
      <c r="C234" s="153"/>
      <c r="D234" s="154"/>
      <c r="E234" s="154"/>
      <c r="F234" s="154"/>
      <c r="G234" s="154"/>
      <c r="H234" s="154"/>
      <c r="I234" s="154"/>
      <c r="J234" s="154"/>
      <c r="K234" s="154"/>
      <c r="L234" s="154"/>
      <c r="M234" s="154"/>
      <c r="N234" s="155"/>
    </row>
    <row r="235" spans="3:14" x14ac:dyDescent="0.2">
      <c r="C235" s="153"/>
      <c r="D235" s="154"/>
      <c r="E235" s="154"/>
      <c r="F235" s="154"/>
      <c r="G235" s="154"/>
      <c r="H235" s="154"/>
      <c r="I235" s="154"/>
      <c r="J235" s="154"/>
      <c r="K235" s="154"/>
      <c r="L235" s="154"/>
      <c r="M235" s="154"/>
      <c r="N235" s="155"/>
    </row>
    <row r="236" spans="3:14" x14ac:dyDescent="0.2">
      <c r="C236" s="153"/>
      <c r="D236" s="154"/>
      <c r="E236" s="154"/>
      <c r="F236" s="154"/>
      <c r="G236" s="154"/>
      <c r="H236" s="154"/>
      <c r="I236" s="154"/>
      <c r="J236" s="154"/>
      <c r="K236" s="154"/>
      <c r="L236" s="154"/>
      <c r="M236" s="154"/>
      <c r="N236" s="155"/>
    </row>
    <row r="237" spans="3:14" x14ac:dyDescent="0.2">
      <c r="C237" s="153"/>
      <c r="D237" s="154"/>
      <c r="E237" s="154"/>
      <c r="F237" s="154"/>
      <c r="G237" s="154"/>
      <c r="H237" s="154"/>
      <c r="I237" s="154"/>
      <c r="J237" s="154"/>
      <c r="K237" s="154"/>
      <c r="L237" s="154"/>
      <c r="M237" s="154"/>
      <c r="N237" s="155"/>
    </row>
    <row r="238" spans="3:14" x14ac:dyDescent="0.2">
      <c r="C238" s="153"/>
      <c r="D238" s="154"/>
      <c r="E238" s="154"/>
      <c r="F238" s="154"/>
      <c r="G238" s="154"/>
      <c r="H238" s="154"/>
      <c r="I238" s="154"/>
      <c r="J238" s="154"/>
      <c r="K238" s="154"/>
      <c r="L238" s="154"/>
      <c r="M238" s="154"/>
      <c r="N238" s="155"/>
    </row>
    <row r="239" spans="3:14" x14ac:dyDescent="0.2">
      <c r="C239" s="153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5"/>
    </row>
    <row r="240" spans="3:14" x14ac:dyDescent="0.2">
      <c r="C240" s="153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5"/>
    </row>
    <row r="241" spans="3:14" x14ac:dyDescent="0.2">
      <c r="C241" s="153"/>
      <c r="D241" s="154"/>
      <c r="E241" s="154"/>
      <c r="F241" s="154"/>
      <c r="G241" s="154"/>
      <c r="H241" s="154"/>
      <c r="I241" s="154"/>
      <c r="J241" s="154"/>
      <c r="K241" s="154"/>
      <c r="L241" s="154"/>
      <c r="M241" s="154"/>
      <c r="N241" s="155"/>
    </row>
    <row r="242" spans="3:14" x14ac:dyDescent="0.2">
      <c r="C242" s="153"/>
      <c r="D242" s="154"/>
      <c r="E242" s="154"/>
      <c r="F242" s="154"/>
      <c r="G242" s="154"/>
      <c r="H242" s="154"/>
      <c r="I242" s="154"/>
      <c r="J242" s="154"/>
      <c r="K242" s="154"/>
      <c r="L242" s="154"/>
      <c r="M242" s="154"/>
      <c r="N242" s="155"/>
    </row>
    <row r="243" spans="3:14" x14ac:dyDescent="0.2">
      <c r="C243" s="153"/>
      <c r="D243" s="154"/>
      <c r="E243" s="154"/>
      <c r="F243" s="154"/>
      <c r="G243" s="154"/>
      <c r="H243" s="154"/>
      <c r="I243" s="154"/>
      <c r="J243" s="154"/>
      <c r="K243" s="154"/>
      <c r="L243" s="154"/>
      <c r="M243" s="154"/>
      <c r="N243" s="155"/>
    </row>
    <row r="244" spans="3:14" x14ac:dyDescent="0.2">
      <c r="C244" s="153"/>
      <c r="D244" s="154"/>
      <c r="E244" s="154"/>
      <c r="F244" s="154"/>
      <c r="G244" s="154"/>
      <c r="H244" s="154"/>
      <c r="I244" s="154"/>
      <c r="J244" s="154"/>
      <c r="K244" s="154"/>
      <c r="L244" s="154"/>
      <c r="M244" s="154"/>
      <c r="N244" s="155"/>
    </row>
    <row r="245" spans="3:14" x14ac:dyDescent="0.2">
      <c r="C245" s="153"/>
      <c r="D245" s="154"/>
      <c r="E245" s="154"/>
      <c r="F245" s="154"/>
      <c r="G245" s="154"/>
      <c r="H245" s="154"/>
      <c r="I245" s="154"/>
      <c r="J245" s="154"/>
      <c r="K245" s="154"/>
      <c r="L245" s="154"/>
      <c r="M245" s="154"/>
      <c r="N245" s="155"/>
    </row>
    <row r="246" spans="3:14" x14ac:dyDescent="0.2">
      <c r="C246" s="153"/>
      <c r="D246" s="154"/>
      <c r="E246" s="154"/>
      <c r="F246" s="154"/>
      <c r="G246" s="154"/>
      <c r="H246" s="154"/>
      <c r="I246" s="154"/>
      <c r="J246" s="154"/>
      <c r="K246" s="154"/>
      <c r="L246" s="154"/>
      <c r="M246" s="154"/>
      <c r="N246" s="155"/>
    </row>
    <row r="247" spans="3:14" x14ac:dyDescent="0.2">
      <c r="C247" s="153"/>
      <c r="D247" s="154"/>
      <c r="E247" s="154"/>
      <c r="F247" s="154"/>
      <c r="G247" s="154"/>
      <c r="H247" s="154"/>
      <c r="I247" s="154"/>
      <c r="J247" s="154"/>
      <c r="K247" s="154"/>
      <c r="L247" s="154"/>
      <c r="M247" s="154"/>
      <c r="N247" s="155"/>
    </row>
    <row r="248" spans="3:14" x14ac:dyDescent="0.2">
      <c r="C248" s="153"/>
      <c r="D248" s="154"/>
      <c r="E248" s="154"/>
      <c r="F248" s="154"/>
      <c r="G248" s="154"/>
      <c r="H248" s="154"/>
      <c r="I248" s="154"/>
      <c r="J248" s="154"/>
      <c r="K248" s="154"/>
      <c r="L248" s="154"/>
      <c r="M248" s="154"/>
      <c r="N248" s="155"/>
    </row>
    <row r="249" spans="3:14" x14ac:dyDescent="0.2">
      <c r="C249" s="153"/>
      <c r="D249" s="154"/>
      <c r="E249" s="154"/>
      <c r="F249" s="154"/>
      <c r="G249" s="154"/>
      <c r="H249" s="154"/>
      <c r="I249" s="154"/>
      <c r="J249" s="154"/>
      <c r="K249" s="154"/>
      <c r="L249" s="154"/>
      <c r="M249" s="154"/>
      <c r="N249" s="155"/>
    </row>
    <row r="250" spans="3:14" x14ac:dyDescent="0.2">
      <c r="C250" s="153"/>
      <c r="D250" s="154"/>
      <c r="E250" s="154"/>
      <c r="F250" s="154"/>
      <c r="G250" s="154"/>
      <c r="H250" s="154"/>
      <c r="I250" s="154"/>
      <c r="J250" s="154"/>
      <c r="K250" s="154"/>
      <c r="L250" s="154"/>
      <c r="M250" s="154"/>
      <c r="N250" s="155"/>
    </row>
    <row r="251" spans="3:14" x14ac:dyDescent="0.2">
      <c r="C251" s="153"/>
      <c r="D251" s="154"/>
      <c r="E251" s="154"/>
      <c r="F251" s="154"/>
      <c r="G251" s="154"/>
      <c r="H251" s="154"/>
      <c r="I251" s="154"/>
      <c r="J251" s="154"/>
      <c r="K251" s="154"/>
      <c r="L251" s="154"/>
      <c r="M251" s="154"/>
      <c r="N251" s="155"/>
    </row>
    <row r="252" spans="3:14" x14ac:dyDescent="0.2">
      <c r="C252" s="153"/>
      <c r="D252" s="154"/>
      <c r="E252" s="154"/>
      <c r="F252" s="154"/>
      <c r="G252" s="154"/>
      <c r="H252" s="154"/>
      <c r="I252" s="154"/>
      <c r="J252" s="154"/>
      <c r="K252" s="154"/>
      <c r="L252" s="154"/>
      <c r="M252" s="154"/>
      <c r="N252" s="155"/>
    </row>
    <row r="253" spans="3:14" x14ac:dyDescent="0.2">
      <c r="C253" s="153"/>
      <c r="D253" s="154"/>
      <c r="E253" s="154"/>
      <c r="F253" s="154"/>
      <c r="G253" s="154"/>
      <c r="H253" s="154"/>
      <c r="I253" s="154"/>
      <c r="J253" s="154"/>
      <c r="K253" s="154"/>
      <c r="L253" s="154"/>
      <c r="M253" s="154"/>
      <c r="N253" s="155"/>
    </row>
    <row r="254" spans="3:14" x14ac:dyDescent="0.2">
      <c r="C254" s="153"/>
      <c r="D254" s="154"/>
      <c r="E254" s="154"/>
      <c r="F254" s="154"/>
      <c r="G254" s="154"/>
      <c r="H254" s="154"/>
      <c r="I254" s="154"/>
      <c r="J254" s="154"/>
      <c r="K254" s="154"/>
      <c r="L254" s="154"/>
      <c r="M254" s="154"/>
      <c r="N254" s="155"/>
    </row>
    <row r="255" spans="3:14" x14ac:dyDescent="0.2">
      <c r="C255" s="164"/>
      <c r="D255" s="165"/>
      <c r="E255" s="165"/>
      <c r="F255" s="165"/>
      <c r="G255" s="165"/>
      <c r="H255" s="165"/>
      <c r="I255" s="165"/>
      <c r="J255" s="165"/>
      <c r="K255" s="165"/>
      <c r="L255" s="165"/>
      <c r="M255" s="165"/>
      <c r="N255" s="166"/>
    </row>
  </sheetData>
  <hyperlinks>
    <hyperlink ref="F13" r:id="rId1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5:N52"/>
  <sheetViews>
    <sheetView workbookViewId="0">
      <selection activeCell="B34" sqref="B34"/>
    </sheetView>
  </sheetViews>
  <sheetFormatPr baseColWidth="10" defaultRowHeight="15" x14ac:dyDescent="0.25"/>
  <sheetData>
    <row r="5" spans="3:14" x14ac:dyDescent="0.25">
      <c r="C5" s="158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1"/>
    </row>
    <row r="6" spans="3:14" x14ac:dyDescent="0.25">
      <c r="C6" s="156" t="s">
        <v>96</v>
      </c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1"/>
    </row>
    <row r="7" spans="3:14" x14ac:dyDescent="0.25">
      <c r="C7" s="156" t="s">
        <v>118</v>
      </c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1"/>
    </row>
    <row r="8" spans="3:14" x14ac:dyDescent="0.25">
      <c r="C8" s="156" t="s">
        <v>119</v>
      </c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1"/>
    </row>
    <row r="9" spans="3:14" x14ac:dyDescent="0.25">
      <c r="C9" s="153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155"/>
    </row>
    <row r="10" spans="3:14" x14ac:dyDescent="0.25">
      <c r="C10" s="153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5"/>
    </row>
    <row r="11" spans="3:14" x14ac:dyDescent="0.25">
      <c r="C11" s="156" t="s">
        <v>98</v>
      </c>
      <c r="D11" s="160"/>
      <c r="E11" s="160"/>
      <c r="F11" s="160"/>
      <c r="G11" s="160"/>
      <c r="H11" s="160"/>
      <c r="I11" s="160"/>
      <c r="J11" s="160"/>
      <c r="K11" s="154"/>
      <c r="L11" s="154"/>
      <c r="M11" s="154"/>
      <c r="N11" s="155"/>
    </row>
    <row r="12" spans="3:14" x14ac:dyDescent="0.25">
      <c r="C12" s="156" t="s">
        <v>99</v>
      </c>
      <c r="D12" s="160"/>
      <c r="E12" s="160"/>
      <c r="F12" s="160"/>
      <c r="G12" s="160"/>
      <c r="H12" s="160"/>
      <c r="I12" s="160"/>
      <c r="J12" s="160"/>
      <c r="K12" s="154"/>
      <c r="L12" s="154"/>
      <c r="M12" s="154"/>
      <c r="N12" s="155"/>
    </row>
    <row r="13" spans="3:14" x14ac:dyDescent="0.25">
      <c r="C13" s="153"/>
      <c r="D13" s="154"/>
      <c r="E13" s="154"/>
      <c r="F13" s="154"/>
      <c r="G13" s="154"/>
      <c r="H13" s="154"/>
      <c r="I13" s="154"/>
      <c r="J13" s="154"/>
      <c r="K13" s="160"/>
      <c r="L13" s="160"/>
      <c r="M13" s="160"/>
      <c r="N13" s="161"/>
    </row>
    <row r="14" spans="3:14" x14ac:dyDescent="0.25">
      <c r="C14" s="153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5"/>
    </row>
    <row r="15" spans="3:14" x14ac:dyDescent="0.25">
      <c r="C15" s="153"/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5"/>
    </row>
    <row r="16" spans="3:14" x14ac:dyDescent="0.25">
      <c r="C16" s="156" t="s">
        <v>120</v>
      </c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5"/>
    </row>
    <row r="17" spans="3:14" x14ac:dyDescent="0.25">
      <c r="C17" s="156" t="s">
        <v>91</v>
      </c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1"/>
    </row>
    <row r="18" spans="3:14" x14ac:dyDescent="0.25">
      <c r="C18" s="156" t="s">
        <v>97</v>
      </c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1"/>
    </row>
    <row r="19" spans="3:14" x14ac:dyDescent="0.25">
      <c r="C19" s="156" t="s">
        <v>84</v>
      </c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1"/>
    </row>
    <row r="20" spans="3:14" x14ac:dyDescent="0.25">
      <c r="C20" s="156" t="s">
        <v>68</v>
      </c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1"/>
    </row>
    <row r="21" spans="3:14" x14ac:dyDescent="0.25">
      <c r="C21" s="156" t="s">
        <v>100</v>
      </c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1"/>
    </row>
    <row r="22" spans="3:14" x14ac:dyDescent="0.25">
      <c r="C22" s="156" t="s">
        <v>101</v>
      </c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1"/>
    </row>
    <row r="23" spans="3:14" x14ac:dyDescent="0.25">
      <c r="C23" s="156" t="s">
        <v>85</v>
      </c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1"/>
    </row>
    <row r="24" spans="3:14" x14ac:dyDescent="0.25">
      <c r="C24" s="153"/>
      <c r="D24" s="154"/>
      <c r="E24" s="154"/>
      <c r="F24" s="154"/>
      <c r="G24" s="154"/>
      <c r="H24" s="154"/>
      <c r="I24" s="154"/>
      <c r="J24" s="154"/>
      <c r="K24" s="154"/>
      <c r="L24" s="154"/>
      <c r="M24" s="154"/>
      <c r="N24" s="155"/>
    </row>
    <row r="25" spans="3:14" x14ac:dyDescent="0.25">
      <c r="C25" s="156" t="s">
        <v>69</v>
      </c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1"/>
    </row>
    <row r="26" spans="3:14" x14ac:dyDescent="0.25">
      <c r="C26" s="156" t="s">
        <v>86</v>
      </c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1"/>
    </row>
    <row r="27" spans="3:14" x14ac:dyDescent="0.25">
      <c r="C27" s="156" t="s">
        <v>128</v>
      </c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1"/>
    </row>
    <row r="28" spans="3:14" x14ac:dyDescent="0.25">
      <c r="C28" s="156" t="s">
        <v>70</v>
      </c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1"/>
    </row>
    <row r="29" spans="3:14" x14ac:dyDescent="0.25">
      <c r="C29" s="156" t="s">
        <v>123</v>
      </c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1"/>
    </row>
    <row r="30" spans="3:14" x14ac:dyDescent="0.25">
      <c r="C30" s="156" t="s">
        <v>102</v>
      </c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1"/>
    </row>
    <row r="31" spans="3:14" x14ac:dyDescent="0.25">
      <c r="C31" s="153"/>
      <c r="D31" s="154"/>
      <c r="E31" s="154"/>
      <c r="F31" s="154"/>
      <c r="G31" s="154"/>
      <c r="H31" s="154"/>
      <c r="I31" s="154"/>
      <c r="J31" s="154"/>
      <c r="K31" s="154"/>
      <c r="L31" s="154"/>
      <c r="M31" s="154"/>
      <c r="N31" s="155"/>
    </row>
    <row r="32" spans="3:14" x14ac:dyDescent="0.25">
      <c r="C32" s="153"/>
      <c r="D32" s="154"/>
      <c r="E32" s="154"/>
      <c r="F32" s="154"/>
      <c r="G32" s="154"/>
      <c r="H32" s="154"/>
      <c r="I32" s="154"/>
      <c r="J32" s="154"/>
      <c r="K32" s="154"/>
      <c r="L32" s="154"/>
      <c r="M32" s="154"/>
      <c r="N32" s="155"/>
    </row>
    <row r="33" spans="3:14" x14ac:dyDescent="0.25">
      <c r="C33" s="156" t="s">
        <v>71</v>
      </c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1"/>
    </row>
    <row r="34" spans="3:14" x14ac:dyDescent="0.25">
      <c r="C34" s="156" t="s">
        <v>72</v>
      </c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1"/>
    </row>
    <row r="35" spans="3:14" x14ac:dyDescent="0.25">
      <c r="C35" s="156" t="s">
        <v>103</v>
      </c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1"/>
    </row>
    <row r="36" spans="3:14" x14ac:dyDescent="0.25">
      <c r="C36" s="156" t="s">
        <v>104</v>
      </c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1"/>
    </row>
    <row r="37" spans="3:14" x14ac:dyDescent="0.25">
      <c r="C37" s="156" t="s">
        <v>105</v>
      </c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1"/>
    </row>
    <row r="38" spans="3:14" x14ac:dyDescent="0.25">
      <c r="C38" s="156" t="s">
        <v>73</v>
      </c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1"/>
    </row>
    <row r="39" spans="3:14" x14ac:dyDescent="0.25">
      <c r="C39" s="153"/>
      <c r="D39" s="154"/>
      <c r="E39" s="154"/>
      <c r="F39" s="154"/>
      <c r="G39" s="154"/>
      <c r="H39" s="154"/>
      <c r="I39" s="154"/>
      <c r="J39" s="154"/>
      <c r="K39" s="154"/>
      <c r="L39" s="154"/>
      <c r="M39" s="154"/>
      <c r="N39" s="155"/>
    </row>
    <row r="40" spans="3:14" x14ac:dyDescent="0.25">
      <c r="C40" s="153"/>
      <c r="D40" s="154"/>
      <c r="E40" s="154"/>
      <c r="F40" s="154"/>
      <c r="G40" s="154"/>
      <c r="H40" s="154"/>
      <c r="I40" s="154"/>
      <c r="J40" s="154"/>
      <c r="K40" s="154"/>
      <c r="L40" s="154"/>
      <c r="M40" s="154"/>
      <c r="N40" s="155"/>
    </row>
    <row r="41" spans="3:14" x14ac:dyDescent="0.25">
      <c r="C41" s="156" t="s">
        <v>74</v>
      </c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1"/>
    </row>
    <row r="42" spans="3:14" x14ac:dyDescent="0.25">
      <c r="C42" s="156" t="s">
        <v>87</v>
      </c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1"/>
    </row>
    <row r="43" spans="3:14" x14ac:dyDescent="0.25">
      <c r="C43" s="156" t="s">
        <v>75</v>
      </c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  <row r="44" spans="3:14" x14ac:dyDescent="0.25">
      <c r="C44" s="156" t="s">
        <v>74</v>
      </c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1"/>
    </row>
    <row r="45" spans="3:14" x14ac:dyDescent="0.25">
      <c r="C45" s="158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1"/>
    </row>
    <row r="46" spans="3:14" x14ac:dyDescent="0.25">
      <c r="C46" s="156" t="s">
        <v>124</v>
      </c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1"/>
    </row>
    <row r="47" spans="3:14" x14ac:dyDescent="0.25">
      <c r="C47" s="156" t="s">
        <v>76</v>
      </c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1"/>
    </row>
    <row r="48" spans="3:14" x14ac:dyDescent="0.25">
      <c r="C48" s="156" t="s">
        <v>77</v>
      </c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1"/>
    </row>
    <row r="49" spans="3:14" x14ac:dyDescent="0.25">
      <c r="C49" s="156" t="s">
        <v>78</v>
      </c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1"/>
    </row>
    <row r="50" spans="3:14" x14ac:dyDescent="0.25">
      <c r="C50" s="156" t="s">
        <v>79</v>
      </c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1"/>
    </row>
    <row r="51" spans="3:14" x14ac:dyDescent="0.25">
      <c r="C51" s="156" t="s">
        <v>106</v>
      </c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1"/>
    </row>
    <row r="52" spans="3:14" x14ac:dyDescent="0.25">
      <c r="C52" s="158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</vt:lpstr>
      <vt:lpstr>README</vt:lpstr>
      <vt:lpstr>Feuil1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KEMGUE</dc:creator>
  <cp:lastModifiedBy>KEMGUE</cp:lastModifiedBy>
  <dcterms:created xsi:type="dcterms:W3CDTF">2024-10-10T08:21:19Z</dcterms:created>
  <dcterms:modified xsi:type="dcterms:W3CDTF">2026-05-06T08:57:44Z</dcterms:modified>
</cp:coreProperties>
</file>