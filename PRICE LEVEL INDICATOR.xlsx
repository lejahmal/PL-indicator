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OrderView\"/>
    </mc:Choice>
  </mc:AlternateContent>
  <bookViews>
    <workbookView xWindow="2040" yWindow="0" windowWidth="5415" windowHeight="3990"/>
  </bookViews>
  <sheets>
    <sheet name="PL" sheetId="1" r:id="rId1"/>
    <sheet name="README" sheetId="2" r:id="rId2"/>
    <sheet name="Feuil1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H24" i="1"/>
  <c r="C180" i="2" l="1"/>
  <c r="Q4" i="1"/>
  <c r="D14" i="1"/>
  <c r="F14" i="1"/>
  <c r="E14" i="1"/>
  <c r="S27" i="1" s="1"/>
  <c r="H8" i="1"/>
  <c r="S4" i="1"/>
  <c r="D7" i="1"/>
  <c r="E18" i="1" s="1"/>
  <c r="E16" i="1" l="1"/>
  <c r="D8" i="1" s="1"/>
  <c r="D9" i="1" s="1"/>
  <c r="E19" i="1"/>
  <c r="L4" i="1"/>
  <c r="E17" i="1"/>
  <c r="Q27" i="1" s="1"/>
  <c r="M27" i="1" s="1"/>
  <c r="E15" i="1"/>
  <c r="Q14" i="1" s="1"/>
  <c r="S16" i="1" s="1"/>
  <c r="E20" i="1"/>
  <c r="H18" i="1" l="1"/>
  <c r="I20" i="1"/>
  <c r="Q22" i="1" s="1"/>
  <c r="D20" i="1"/>
  <c r="F16" i="1"/>
  <c r="Q17" i="1" s="1"/>
  <c r="D17" i="1"/>
  <c r="F17" i="1"/>
  <c r="D15" i="1"/>
  <c r="Q7" i="1" s="1"/>
  <c r="F18" i="1"/>
  <c r="D16" i="1"/>
  <c r="F20" i="1"/>
  <c r="D19" i="1"/>
  <c r="D18" i="1"/>
  <c r="R14" i="1" s="1"/>
  <c r="F15" i="1"/>
  <c r="F19" i="1"/>
  <c r="S9" i="1" l="1"/>
  <c r="Q12" i="1"/>
  <c r="S19" i="1" s="1"/>
  <c r="S24" i="1"/>
  <c r="G20" i="1"/>
  <c r="S13" i="1"/>
  <c r="Q18" i="1"/>
  <c r="S5" i="1"/>
  <c r="Q26" i="1"/>
  <c r="R13" i="1"/>
  <c r="G15" i="1"/>
  <c r="H6" i="1" s="1"/>
  <c r="S18" i="1"/>
  <c r="I17" i="1"/>
  <c r="S17" i="1" s="1"/>
  <c r="M13" i="1" s="1"/>
  <c r="H14" i="1"/>
  <c r="Q10" i="1"/>
  <c r="M18" i="1" l="1"/>
  <c r="H25" i="1" s="1"/>
  <c r="M17" i="1"/>
  <c r="S21" i="1"/>
  <c r="S26" i="1"/>
  <c r="H19" i="1"/>
  <c r="H20" i="1"/>
  <c r="H17" i="1"/>
  <c r="S12" i="1" s="1"/>
  <c r="H15" i="1"/>
  <c r="Q11" i="1" s="1"/>
  <c r="Q5" i="1"/>
  <c r="H16" i="1"/>
  <c r="G6" i="1"/>
  <c r="D10" i="1"/>
  <c r="Q13" i="1"/>
  <c r="M12" i="1" s="1"/>
  <c r="Q19" i="1" l="1"/>
  <c r="M19" i="1" s="1"/>
  <c r="L12" i="1"/>
  <c r="S20" i="1"/>
  <c r="S15" i="1"/>
  <c r="R15" i="1"/>
  <c r="Q15" i="1"/>
  <c r="M15" i="1" s="1"/>
  <c r="G5" i="1"/>
  <c r="H5" i="1"/>
  <c r="G14" i="1"/>
  <c r="G17" i="1"/>
  <c r="G19" i="1"/>
  <c r="M26" i="1" s="1"/>
  <c r="G18" i="1"/>
  <c r="G16" i="1"/>
  <c r="S14" i="1" s="1"/>
  <c r="Q16" i="1" l="1"/>
  <c r="M16" i="1" s="1"/>
  <c r="M14" i="1"/>
  <c r="G24" i="1"/>
  <c r="H26" i="1"/>
  <c r="L5" i="1"/>
  <c r="Q23" i="1"/>
  <c r="I15" i="1"/>
  <c r="S7" i="1" s="1"/>
  <c r="I14" i="1"/>
  <c r="S6" i="1" s="1"/>
  <c r="Q25" i="1" s="1"/>
  <c r="H7" i="1"/>
  <c r="H9" i="1" s="1"/>
  <c r="D2" i="1" s="1"/>
  <c r="Q6" i="1"/>
  <c r="I19" i="1"/>
  <c r="S22" i="1" s="1"/>
  <c r="I18" i="1"/>
  <c r="S23" i="1" s="1"/>
  <c r="Q8" i="1" s="1"/>
  <c r="S11" i="1"/>
  <c r="I16" i="1"/>
  <c r="S10" i="1" s="1"/>
  <c r="Q20" i="1" l="1"/>
  <c r="M20" i="1" s="1"/>
  <c r="L11" i="1"/>
  <c r="G27" i="1" s="1"/>
  <c r="C24" i="1"/>
  <c r="J24" i="1"/>
  <c r="F24" i="1"/>
  <c r="K24" i="1"/>
  <c r="Q9" i="1"/>
  <c r="L9" i="1" s="1"/>
  <c r="M22" i="1"/>
  <c r="Q21" i="1"/>
  <c r="M21" i="1" s="1"/>
  <c r="L10" i="1"/>
  <c r="Q24" i="1"/>
  <c r="M24" i="1" s="1"/>
  <c r="E28" i="1" s="1"/>
  <c r="L7" i="1"/>
  <c r="H27" i="1" s="1"/>
  <c r="S25" i="1"/>
  <c r="M25" i="1" s="1"/>
  <c r="L6" i="1"/>
  <c r="O27" i="1"/>
  <c r="O4" i="1"/>
  <c r="S8" i="1"/>
  <c r="L8" i="1" s="1"/>
  <c r="M23" i="1"/>
  <c r="G26" i="1" l="1"/>
  <c r="K26" i="1" s="1"/>
  <c r="G25" i="1"/>
  <c r="C25" i="1" s="1"/>
  <c r="K27" i="1"/>
  <c r="C27" i="1"/>
  <c r="I27" i="1"/>
  <c r="J27" i="1" s="1"/>
  <c r="F27" i="1"/>
  <c r="F26" i="1" l="1"/>
  <c r="I26" i="1"/>
  <c r="J26" i="1" s="1"/>
  <c r="C26" i="1"/>
  <c r="K25" i="1"/>
  <c r="I25" i="1"/>
  <c r="J25" i="1" s="1"/>
  <c r="F25" i="1"/>
</calcChain>
</file>

<file path=xl/comments1.xml><?xml version="1.0" encoding="utf-8"?>
<comments xmlns="http://schemas.openxmlformats.org/spreadsheetml/2006/main">
  <authors>
    <author>KEMGUE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KEMGUE:
</t>
        </r>
        <r>
          <rPr>
            <sz val="9"/>
            <color indexed="81"/>
            <rFont val="Tahoma"/>
            <family val="2"/>
          </rPr>
          <t>Strategy  P or L refer parameter for more explanation</t>
        </r>
      </text>
    </comment>
    <comment ref="D2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TO BUY USE BID PRICE 
TO SELL USE ASK PRICE 
SEE RESULT IN </t>
        </r>
        <r>
          <rPr>
            <b/>
            <sz val="9"/>
            <color indexed="81"/>
            <rFont val="Tahoma"/>
            <family val="2"/>
          </rPr>
          <t>ORDERBOOK</t>
        </r>
        <r>
          <rPr>
            <sz val="9"/>
            <color indexed="81"/>
            <rFont val="Tahoma"/>
            <family val="2"/>
          </rPr>
          <t xml:space="preserve"> SECTION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Nom de l'actif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periode d'etude
1 MIN , 15 MIN, 1H , 4H , 1D, 1W ,1M , 6M ….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nombre de chiffre apres la virgule 
valeur par defaut = 4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 xml:space="preserve">
BID for BUY
ASK for SELL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defaut startegy P if #price1 &gt; #price2     else
 strategy L
#price1 &lt;  #price2 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DEFAUL PRICE 1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RANGE SPREAD  in pib smallest risk coverage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DEFAULT PRICE 2</t>
        </r>
      </text>
    </comment>
    <comment ref="G6" authorId="0" shapeId="0">
      <text>
        <r>
          <rPr>
            <b/>
            <sz val="9"/>
            <color indexed="81"/>
            <rFont val="Tahoma"/>
            <charset val="1"/>
          </rPr>
          <t>Average orderbok price volatility represent the correct 1:1 ratio for drip price market entrance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APV = Average Orderbook Rrice Volatility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Defaut error marging 0,1 can be modified inside formula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SI 1 = 100% ALORS RETRANCHER 0,236 ET IL RESTE 0,764 SOIT 76,4% QUI EST LE RATIO PIVOT ALORS
REGLE DE TROIS 
SI 76,4% =25,94
    100% = ?
RESULTAT RATIO AJUSTER ON Y RETRANCHE AU RATIO AJUSTER LE RATIO PIVOT ON OBTIENT AJUSTEMENT</t>
        </r>
      </text>
    </comment>
    <comment ref="M12" authorId="0" shapeId="0">
      <text>
        <r>
          <rPr>
            <sz val="9"/>
            <color indexed="81"/>
            <rFont val="Tahoma"/>
            <family val="2"/>
          </rPr>
          <t xml:space="preserve">
AOP = Average Orderbook Price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</rPr>
          <t>GAP | 382 GAUCHE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</rPr>
          <t>P stategy
GO
C 0+
E  236 COEUR
G BASE+
obj AOP
L strategy
Go
C BRK
E  236+
G BASE
obj CO-AOP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" authorId="0" shapeId="0">
      <text>
        <r>
          <rPr>
            <b/>
            <sz val="9"/>
            <color indexed="81"/>
            <rFont val="Tahoma"/>
            <family val="2"/>
          </rPr>
          <t>618 COEUR | 382 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Strategy P
GO
C 236 COEUR
BREAK 236 PA
OBJ 1 GAP
OBJ 2 238 GAUCHE
Strategy L
GO
C 236+
BREAK  05 PS
OBJ 1 382 GAUCHE
OBJ 2 GAP</t>
        </r>
      </text>
    </comment>
    <comment ref="M15" authorId="0" shapeId="0">
      <text>
        <r>
          <rPr>
            <b/>
            <sz val="9"/>
            <color indexed="81"/>
            <rFont val="Tahoma"/>
            <family val="2"/>
          </rPr>
          <t>382 PA = SOLO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 xml:space="preserve">P stategy
GO 
C 382 COEUR
E  AOP
G 382 PS
obj 0+
L strategy
Go 
C 382+
E 786 COEUR
G 618 COEUR
obj BRK
</t>
        </r>
      </text>
    </comment>
    <comment ref="M16" authorId="0" shapeId="0">
      <text>
        <r>
          <rPr>
            <b/>
            <sz val="9"/>
            <color indexed="81"/>
            <rFont val="Tahoma"/>
            <family val="2"/>
          </rPr>
          <t>382 PS | 618 COEUR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7" authorId="0" shapeId="0">
      <text>
        <r>
          <rPr>
            <b/>
            <sz val="9"/>
            <color indexed="81"/>
            <rFont val="Tahoma"/>
            <family val="2"/>
          </rPr>
          <t>GAP | 382 GAUCHE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0" shapeId="0">
      <text>
        <r>
          <rPr>
            <b/>
            <sz val="9"/>
            <color indexed="81"/>
            <rFont val="Tahoma"/>
            <family val="2"/>
          </rPr>
          <t xml:space="preserve">Strategy P
Go 
C COR
E 382 coeur
G AOP
obj CO-AOP
stategy L
GO 
C 618 PS
E 382+
G CO-AOP
obj AOP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8" authorId="0" shapeId="0">
      <text>
        <r>
          <rPr>
            <b/>
            <sz val="9"/>
            <color indexed="81"/>
            <rFont val="Tahoma"/>
            <family val="2"/>
          </rPr>
          <t>786 COEUR | TCHAD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</rPr>
          <t>P stategy
GO 
C base+
E  236 PA
G GAP
obj 382+
L strategy
Go 
C base
E 236+
G 382 gauche
obj 382 coeur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9" authorId="0" shapeId="0">
      <text>
        <r>
          <rPr>
            <b/>
            <sz val="9"/>
            <color indexed="81"/>
            <rFont val="Tahoma"/>
            <family val="2"/>
          </rPr>
          <t xml:space="preserve">05PA en L 
AOP en P ne sert pas  
AOP en L sert </t>
        </r>
      </text>
    </comment>
    <comment ref="M20" authorId="0" shapeId="0">
      <text>
        <r>
          <rPr>
            <b/>
            <sz val="9"/>
            <color indexed="81"/>
            <rFont val="Tahoma"/>
            <family val="2"/>
          </rPr>
          <t>05 PS | 236 PA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0" shapeId="0">
      <text>
        <r>
          <rPr>
            <b/>
            <sz val="9"/>
            <color indexed="81"/>
            <rFont val="Tahoma"/>
            <family val="2"/>
          </rPr>
          <t>382 | 382+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3" authorId="0" shapeId="0">
      <text>
        <r>
          <rPr>
            <b/>
            <sz val="9"/>
            <color indexed="81"/>
            <rFont val="Tahoma"/>
            <family val="2"/>
          </rPr>
          <t>COR | 618 PS</t>
        </r>
      </text>
    </comment>
    <comment ref="Q23" authorId="0" shapeId="0">
      <text>
        <r>
          <rPr>
            <b/>
            <sz val="9"/>
            <color indexed="81"/>
            <rFont val="Tahoma"/>
            <family val="2"/>
          </rPr>
          <t>618 COEUR | 382 PS</t>
        </r>
      </text>
    </comment>
    <comment ref="M25" authorId="0" shapeId="0">
      <text>
        <r>
          <rPr>
            <b/>
            <sz val="9"/>
            <color indexed="81"/>
            <rFont val="Tahoma"/>
            <family val="2"/>
          </rPr>
          <t>BRK | 0+</t>
        </r>
      </text>
    </comment>
    <comment ref="M26" authorId="0" shapeId="0">
      <text>
        <r>
          <rPr>
            <b/>
            <sz val="9"/>
            <color indexed="81"/>
            <rFont val="Tahoma"/>
            <family val="2"/>
          </rPr>
          <t>618 BAS | 786 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6" authorId="0" shapeId="0">
      <text>
        <r>
          <rPr>
            <b/>
            <sz val="9"/>
            <color indexed="81"/>
            <rFont val="Tahoma"/>
            <family val="2"/>
          </rPr>
          <t>618 BAS | 0+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7" authorId="0" shapeId="0">
      <text>
        <r>
          <rPr>
            <b/>
            <sz val="9"/>
            <color indexed="81"/>
            <rFont val="Tahoma"/>
            <family val="2"/>
          </rPr>
          <t>GO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KEMGUE:</t>
        </r>
        <r>
          <rPr>
            <sz val="9"/>
            <color indexed="81"/>
            <rFont val="Tahoma"/>
            <family val="2"/>
          </rPr>
          <t xml:space="preserve">
FILTER</t>
        </r>
      </text>
    </comment>
  </commentList>
</comments>
</file>

<file path=xl/sharedStrings.xml><?xml version="1.0" encoding="utf-8"?>
<sst xmlns="http://schemas.openxmlformats.org/spreadsheetml/2006/main" count="199" uniqueCount="169">
  <si>
    <t>ORDER BOOK</t>
  </si>
  <si>
    <t>VALEURS</t>
  </si>
  <si>
    <t>PARAMS</t>
  </si>
  <si>
    <t>RATIO RETRACEMENT</t>
  </si>
  <si>
    <t xml:space="preserve">MOVING RATE </t>
  </si>
  <si>
    <t>BASE</t>
  </si>
  <si>
    <t>FIXE RATE</t>
  </si>
  <si>
    <t>RATIO BASE</t>
  </si>
  <si>
    <t>ERROR MARGING</t>
  </si>
  <si>
    <t>RATIO PIVOT</t>
  </si>
  <si>
    <t>FIBONNACI POINTS</t>
  </si>
  <si>
    <t>COEUR</t>
  </si>
  <si>
    <t>LIGNES PIVOT</t>
  </si>
  <si>
    <t>AJUSTEMENT</t>
  </si>
  <si>
    <t>QUANTITY</t>
  </si>
  <si>
    <t>LEVERAGE</t>
  </si>
  <si>
    <t>MARGING</t>
  </si>
  <si>
    <t>ORDER</t>
  </si>
  <si>
    <t>RISK</t>
  </si>
  <si>
    <t>PERCENTAGE</t>
  </si>
  <si>
    <t>GAIN</t>
  </si>
  <si>
    <t>COLONNE |HAUT</t>
  </si>
  <si>
    <t>COLONNE| BAS</t>
  </si>
  <si>
    <t>L'ensemble des données de l'indicateur est uniquement fourni à titre indicatif.</t>
  </si>
  <si>
    <t>En cas d'erreur ou de négligence, vous ne devez pas vous fier exclusivement à ces données pour prendre des décisions en trading.</t>
  </si>
  <si>
    <t>TRADE</t>
  </si>
  <si>
    <t>SETTINGS</t>
  </si>
  <si>
    <t>VALUES              |                        PIB</t>
  </si>
  <si>
    <t>MARKER</t>
  </si>
  <si>
    <t>LIGNES SPECIALES</t>
  </si>
  <si>
    <t>ECHELLE H</t>
  </si>
  <si>
    <t>◄</t>
  </si>
  <si>
    <t xml:space="preserve"> </t>
  </si>
  <si>
    <t>RATIO RISK</t>
  </si>
  <si>
    <t>/ This source code is subject to the terms of the Mozilla Public License 2.0 at https://mozilla.org/MPL/2.0/</t>
  </si>
  <si>
    <t>// .................................................. plan du tutoriel ...................................................................</t>
  </si>
  <si>
    <r>
      <t xml:space="preserve">                                                      </t>
    </r>
    <r>
      <rPr>
        <sz val="10"/>
        <color rgb="FF787B86"/>
        <rFont val="Consolas"/>
        <family val="3"/>
      </rPr>
      <t>// PRESENTATION</t>
    </r>
  </si>
  <si>
    <r>
      <t xml:space="preserve">                                                      </t>
    </r>
    <r>
      <rPr>
        <sz val="10"/>
        <color rgb="FF787B86"/>
        <rFont val="Consolas"/>
        <family val="3"/>
      </rPr>
      <t>// LES PARAMETRES</t>
    </r>
  </si>
  <si>
    <r>
      <t xml:space="preserve">                                                      </t>
    </r>
    <r>
      <rPr>
        <sz val="10"/>
        <color rgb="FF787B86"/>
        <rFont val="Consolas"/>
        <family val="3"/>
      </rPr>
      <t>// ETAPE INITIALE</t>
    </r>
  </si>
  <si>
    <r>
      <t xml:space="preserve">                                                      </t>
    </r>
    <r>
      <rPr>
        <sz val="10"/>
        <color rgb="FF787B86"/>
        <rFont val="Consolas"/>
        <family val="3"/>
      </rPr>
      <t>// ETUDE STANDARD</t>
    </r>
  </si>
  <si>
    <r>
      <t xml:space="preserve">                                                      </t>
    </r>
    <r>
      <rPr>
        <sz val="10"/>
        <color rgb="FF787B86"/>
        <rFont val="Consolas"/>
        <family val="3"/>
      </rPr>
      <t>// EXAMPLE ILLUSTRATIF</t>
    </r>
  </si>
  <si>
    <t>// a la lettre "P"  repartie ainsi qu'il suit :</t>
  </si>
  <si>
    <t>//    ► GROUPE 1 et 2 represente le graphique dont les prix s'affiche le plus a gauche</t>
  </si>
  <si>
    <t xml:space="preserve">//      les prix du groupe 1 et 2 represente deux nibeaux de retracement de fibonnaci </t>
  </si>
  <si>
    <t xml:space="preserve">//      superposee l'un sur l'autre (LES PAIRES) de tel sorte que le retracement 0.382 </t>
  </si>
  <si>
    <t xml:space="preserve">//      du premier (LONG =&gt; "de son petit nom") correspondont au retracemnt 0.5 de </t>
  </si>
  <si>
    <t>//      l'autre (COURT) .</t>
  </si>
  <si>
    <t xml:space="preserve">//    ► le groupe 3 (COEUR) est le niveau de retracement avec les prix centrer au millieu </t>
  </si>
  <si>
    <t xml:space="preserve">//      de l'indicteur ce niveau de retracement est tracer de tel sorte que le point de </t>
  </si>
  <si>
    <t xml:space="preserve">//      jonction creer entre 0.382 LONG et 0.5 COURT donc le nom est (BASE) soit egale au </t>
  </si>
  <si>
    <t>//      niveau 1 du COEUR.</t>
  </si>
  <si>
    <t>//      les niveaux de prix des trois graphiques precedents le point de depart des pivots  </t>
  </si>
  <si>
    <t>//      est 0.786 LONG est egale a 1 PIVOT. le premier pivot est concu de tels sorte que le</t>
  </si>
  <si>
    <t xml:space="preserve">//      niveau 0.236 du PIVOT soit egale au niveau 0.5 du COEUR le second (PIVOT AJUSTER) </t>
  </si>
  <si>
    <t>//      est trace de tel sorte que le niveau 0.618 du PIVOT soit egale a la BASE</t>
  </si>
  <si>
    <t>//               le graphique que vous obtenez est le graphique L.</t>
  </si>
  <si>
    <t>// AJUSTER PIVOT : checkbox a cocher pour activer l'ajustement du pivot . (nous y reviendrons)</t>
  </si>
  <si>
    <t>// NB: la strategie n'est pas oblgatoire sauf si c'est pour specifier le niveau dans une strategie precise</t>
  </si>
  <si>
    <t xml:space="preserve">// l'etude PL se decompose en deux types: l'etude standard et l'etude approfondie.dans le cadre de ce tutoriel </t>
  </si>
  <si>
    <t xml:space="preserve">// nous evoquerons uniquement l'etude standard </t>
  </si>
  <si>
    <t>// - lors de l'etude d'une tendance a la hausse , la ligne de prix la plus basse doit etre static et le ligne de prix la plus haute</t>
  </si>
  <si>
    <t>// va servir d'ajustement.</t>
  </si>
  <si>
    <t xml:space="preserve">// dans une etude de la tendance a la baisse la ligne de prix la plus haute doit etre static et la ligne des prix la plus basse </t>
  </si>
  <si>
    <t>// servira d'ajustement.</t>
  </si>
  <si>
    <t>// les ZONES DE CORRESPONDANCE , ils en existent plusieurs dans le graphique PL donc les plus significatives sont :</t>
  </si>
  <si>
    <t>// 236COEUR/236+</t>
  </si>
  <si>
    <t xml:space="preserve">// BRK/OPIVOT </t>
  </si>
  <si>
    <t xml:space="preserve">// COR/618PIVOT </t>
  </si>
  <si>
    <t>// legerement en dessous du prix de la ligne de tension qui a ete casser c'est ce que j'appel un PRIX DE REVIENT qui</t>
  </si>
  <si>
    <t xml:space="preserve">// il peut arriver que dans la zone de tension, le prix cede plutot la ligne de tension dans le sens contraire du marche </t>
  </si>
  <si>
    <t xml:space="preserve">// un ordre baleine est passer sur un marche peut liquide ... il est donc tres important dans une zone de tension </t>
  </si>
  <si>
    <t xml:space="preserve">// une fois que le prix a quitter la zone de tension apres etre revenu au prix de revient comme ce sera generalement le cas </t>
  </si>
  <si>
    <t>// si la tendance ne subi pas une pertubation majeure c'est a dire ne cede pas la pression des contraires (voir plus haut)</t>
  </si>
  <si>
    <t>// est desormais le nouveau moteur de l'actif .</t>
  </si>
  <si>
    <t>//.................................................................................................................................</t>
  </si>
  <si>
    <t>// la zone de pression en partant d'une ligne de correspondnace significative. c'est ce que j'appel la REGLE ALPHA du PL        ...</t>
  </si>
  <si>
    <t>// significative corresponde a un point de prix significatif le la structure des prix du marche par example un break ,</t>
  </si>
  <si>
    <t xml:space="preserve">// un retracement , une ressitance ou un break solide (c'est a dire ayant ete confirmer au moins 2 fois voir plus de 3 fois) </t>
  </si>
  <si>
    <t xml:space="preserve">// rechercher la zone de tension significative ( c'est a dire la zone dans laquel le prix a fais un aller retour au moins une fois </t>
  </si>
  <si>
    <t xml:space="preserve">// avant de poursuivre dans le sens de la tendance ). A partir la zone de correspondance qui vous sert de curseur, proceder a la </t>
  </si>
  <si>
    <t xml:space="preserve">// a ete soignesement ranger pour former une representation graphique ressemblant soit a la lettre "L" soit </t>
  </si>
  <si>
    <t xml:space="preserve">//    ► le groupe 4 (PIVOT SIMPLE) est en fait deux niveaux de fibonnaci distinct qui complete </t>
  </si>
  <si>
    <t>// 05COEUR/05PIVOTAJUSTER</t>
  </si>
  <si>
    <r>
      <t>// Avant de debuter voici la CONVENTION DE NOMMAGE des lignes du nuage des prix PL : (FIBOPNNACI+GROUPE</t>
    </r>
    <r>
      <rPr>
        <b/>
        <sz val="10"/>
        <color rgb="FF787B86"/>
        <rFont val="Consolas"/>
        <family val="3"/>
      </rPr>
      <t>.</t>
    </r>
    <r>
      <rPr>
        <sz val="10"/>
        <color rgb="FF787B86"/>
        <rFont val="Consolas"/>
        <family val="3"/>
      </rPr>
      <t>stategie )</t>
    </r>
  </si>
  <si>
    <t xml:space="preserve">// la tendance est alors dite "confirmer". Dans le cas contraire le cours va se heurter a un premier niveau de break puis faire un retour </t>
  </si>
  <si>
    <t>// la tendance en couurs  est prometteuse</t>
  </si>
  <si>
    <t>// on dis alors que le marche A "CEDER A LA PRESSION DES CONTRAIRE". les dominants du marche on alors perdu la main et le prix</t>
  </si>
  <si>
    <t>// En un mot tout l'art de l'etude standard est de trouver la zone de tension qui se situe dans     ...</t>
  </si>
  <si>
    <t>//.................................................................................................................</t>
  </si>
  <si>
    <t>// ................................................................................................................</t>
  </si>
  <si>
    <t>// une fois affichee, l'ensemble des lignes PL se composent de trois zones :</t>
  </si>
  <si>
    <t>// c'est la zone ou les market maker se  livrent a la bataille des prix pour forcer l'evolution du marche dans un sens ou dans l'autre.   </t>
  </si>
  <si>
    <t xml:space="preserve">//      le curseur etant le premier niveau de break dans une tendance a partir du point le plus haut ou le plus bas qui le precede </t>
  </si>
  <si>
    <t>// 382COEUR/382+</t>
  </si>
  <si>
    <t>// BASE/BASE+</t>
  </si>
  <si>
    <t xml:space="preserve">// le principe de l'etude standard est simple les deux droites du PL doivent etre placees de tel sorte que l'une des ligne GO soit static </t>
  </si>
  <si>
    <t>// - les deux ZONES DE DEPRESSION : c'est la zone des prix entre la ligne Go et le curseur et sa zone correspondante</t>
  </si>
  <si>
    <t xml:space="preserve">// ici le princique est que lorsque le marcche ouvre la séance hors de la zone de tension dans le sens de la tendance, </t>
  </si>
  <si>
    <t xml:space="preserve">// la ZONE DE PRESSION c'est la zone des prix qui se trouve entre le curseur et le prix moyen d'execution des ordre dans le carnet </t>
  </si>
  <si>
    <r>
      <t xml:space="preserve">//d'ordre appeler AOP (AVERAGE ORDERBOOK PRICE) representant le premier niveau theorique de correction du marche </t>
    </r>
    <r>
      <rPr>
        <b/>
        <i/>
        <sz val="10"/>
        <color rgb="FF787B86"/>
        <rFont val="Consolas"/>
        <family val="3"/>
      </rPr>
      <t>(la main invisible)</t>
    </r>
  </si>
  <si>
    <t>// est en fait un premier niveau de retracement avant la reprise de la tendance vers la main invisible qui va corriger le marche</t>
  </si>
  <si>
    <t xml:space="preserve">// on dit alors que le marche est "MARCHE EN MARCHE" c'est dire que les investisseurs ont des nouvelles qui laissent croire que </t>
  </si>
  <si>
    <t>/// ouvre hors de la zone de tension.</t>
  </si>
  <si>
    <t xml:space="preserve">// le cours de l'actif va evoluer dans la tendance dominante pour rejoindrela main invisible . ce niveau </t>
  </si>
  <si>
    <t>// de correction generalement va marquer le retournement de tendance . mais il peut arriver que la tendance traverse la main invisible</t>
  </si>
  <si>
    <t xml:space="preserve">// pour poursuivre son mouvement je qualifie alors l'actif DE "MARCHE QUI A LE VENT EN POUPE" car la confiance des investisseurs </t>
  </si>
  <si>
    <t>// lecture du prix de revient et de la main invisible</t>
  </si>
  <si>
    <t>PRICE LEVEL INDICATOR</t>
  </si>
  <si>
    <t>lejahmal@gmail.com</t>
  </si>
  <si>
    <t>|  00 (237) 697356466</t>
  </si>
  <si>
    <t>//      les lignes speciales ajoutes manuellement ne forment pas un groupe en tant que elles. Elles servent a marquer la correspondance</t>
  </si>
  <si>
    <t>//      en ceci que elles servent de ligne curseur pour chaque etude standard (nous y reviendrons)</t>
  </si>
  <si>
    <t>//      directement. Le depart est toujours soit #PRICE1 ou #PRICE2 que j'appele ligne de "GO" c'est a dire ligne de depart de l'etude</t>
  </si>
  <si>
    <r>
      <t xml:space="preserve">// ------------------------------------------------------- </t>
    </r>
    <r>
      <rPr>
        <sz val="10"/>
        <rFont val="Consolas"/>
        <family val="3"/>
      </rPr>
      <t>PRESENTATION</t>
    </r>
    <r>
      <rPr>
        <sz val="10"/>
        <color rgb="FF787B86"/>
        <rFont val="Consolas"/>
        <family val="3"/>
      </rPr>
      <t xml:space="preserve"> -----------------------------------------------------------------</t>
    </r>
  </si>
  <si>
    <r>
      <t xml:space="preserve">// ....................................................... </t>
    </r>
    <r>
      <rPr>
        <sz val="10"/>
        <rFont val="Consolas"/>
        <family val="3"/>
      </rPr>
      <t>LES PARAMETRES</t>
    </r>
    <r>
      <rPr>
        <sz val="10"/>
        <color rgb="FF787B86"/>
        <rFont val="Consolas"/>
        <family val="3"/>
      </rPr>
      <t xml:space="preserve"> ..............................................................</t>
    </r>
  </si>
  <si>
    <r>
      <t xml:space="preserve">// -------------------------------------------------------- </t>
    </r>
    <r>
      <rPr>
        <sz val="10"/>
        <rFont val="Consolas"/>
        <family val="3"/>
      </rPr>
      <t>ETAPE INITIALE</t>
    </r>
    <r>
      <rPr>
        <sz val="10"/>
        <color rgb="FF787B86"/>
        <rFont val="Consolas"/>
        <family val="3"/>
      </rPr>
      <t xml:space="preserve"> -------------------------------------------------------------</t>
    </r>
  </si>
  <si>
    <t>// #PRICE1    : est le prix le prix le plus haut a selectioner pour commencer l'etude</t>
  </si>
  <si>
    <t xml:space="preserve">// #PRICE2    : est le prix le plus bas a selectionner pour commencer l'etude, </t>
  </si>
  <si>
    <t xml:space="preserve">//  la zone la plus  basse des deux est la zone de survente et la zone la plus haute est la zone de surachat c'est la zone de prix </t>
  </si>
  <si>
    <t>//  qui indique que la tendance en cours est arrive a epuissement</t>
  </si>
  <si>
    <t>// la ZONE DE TENSIION c'est une zone de prix contenu dans la zone de pression. Marquer par les aller et retour de prix entre deux points</t>
  </si>
  <si>
    <t>// pour faciliter la comprehension le nuage PL se compose de 4 groupes de donnees distincts dont l'ensemble</t>
  </si>
  <si>
    <t xml:space="preserve">// et l'autre serve de droite d'ajustement (pour ajuster les prix, faite glisser la ligne d'ajustement) </t>
  </si>
  <si>
    <t>// d'observer les cassures qui ont lieu au niveau des lignes de tension Lorsque la séance de marche suivante sur la periode de l'etude</t>
  </si>
  <si>
    <t>// pour ce faire , placer votre PL,  faite glisser la ligne d'ajustement de tels sorte que une ligne de correspondance</t>
  </si>
  <si>
    <t>// STRATEGIE                    .               P                   .                     L                       .      </t>
  </si>
  <si>
    <t xml:space="preserve">// NB: ceci ne constitue en aucun cas un conseil en investissement. </t>
  </si>
  <si>
    <t>MATRICE</t>
  </si>
  <si>
    <t xml:space="preserve">// evoluera donc en contre tendance c'est gereralement le cas des effets d'annonces qui suprennent le marche ou encore lorsque </t>
  </si>
  <si>
    <t xml:space="preserve">//      entre certaines lignes du PL de tels sorte que les prix P soit presque egale au prix L et inversement , elles sont essentielles </t>
  </si>
  <si>
    <t xml:space="preserve">LINE 1   </t>
  </si>
  <si>
    <t>LINE 2</t>
  </si>
  <si>
    <t>L'exactitude n'est pas garantie et aucune promesse n'y est émise quant à l'exactitude des données.</t>
  </si>
  <si>
    <t>// example 382PS.P (represente le ligne 0.382 du groupe pivot simple de la startegie P)</t>
  </si>
  <si>
    <t>// example 236PA.P (represente le ligne 0.236 du groupe pivot ajuster de la startegie P)</t>
  </si>
  <si>
    <t>// example 382 , 618PS, 786PA , 05C , 382L , GAP.P  …</t>
  </si>
  <si>
    <t>// example 05.L (represente le ligne 0.5 du groupe coeur de la startegie L)</t>
  </si>
  <si>
    <t>//  (marker 0PS.P) soit egale au premier niveau de break dans le sens de la tendance en cours</t>
  </si>
  <si>
    <t>// - les deux ZONES DE DEPRESSION : c'est la zone des prix entre la ligne Go et le marker et sa zone correspondante</t>
  </si>
  <si>
    <t>// la ZONE DE PRESSION c'est la zone des prix qui se trouve entre le marker et le prix moyen d'execution des ordre dans le carnet d'ordre</t>
  </si>
  <si>
    <t>// placez une ligne GO 0.P au niveau d'un prix significatif et ajustez l'autre ligne GO de tel sorte que la ligne speciale</t>
  </si>
  <si>
    <r>
      <t xml:space="preserve">// ...............................  </t>
    </r>
    <r>
      <rPr>
        <sz val="10"/>
        <rFont val="Consolas"/>
        <family val="3"/>
      </rPr>
      <t>EXAMPLE ILLUSTRATIF | LECTURE DU CARNET D"ORDRE (ORDERBOOK)</t>
    </r>
    <r>
      <rPr>
        <sz val="10"/>
        <color rgb="FF787B86"/>
        <rFont val="Consolas"/>
        <family val="3"/>
      </rPr>
      <t xml:space="preserve"> .........................................</t>
    </r>
  </si>
  <si>
    <t>// Le concepte de l'indicateur PL est un nuage de ligne de prix basée sur les niveaux de retracement de Fibonacci qui ont servi a remplir</t>
  </si>
  <si>
    <t>// STRATEGY   : PL se decompose en deux strategies  principale "P" et "L" et par defaut,</t>
  </si>
  <si>
    <t xml:space="preserve">//  au travers de multiples hypothèses mathématiques. </t>
  </si>
  <si>
    <t>// les points des fonctions d'une matrice dont la théorie initiale est la simulation du carnet d'ordre d'un actif sur une periode donnee</t>
  </si>
  <si>
    <t xml:space="preserve">//(ORDERBOOK) appeler AOP (AVERAGE ORDERBOOK PRICE) representant le prix moyen theorique de correction du marche </t>
  </si>
  <si>
    <r>
      <t xml:space="preserve">// -------------------------------------------------------------- </t>
    </r>
    <r>
      <rPr>
        <sz val="10"/>
        <rFont val="Consolas"/>
        <family val="3"/>
      </rPr>
      <t xml:space="preserve">ETUDE STANDARD </t>
    </r>
    <r>
      <rPr>
        <sz val="10"/>
        <color rgb="FF787B86"/>
        <rFont val="Consolas"/>
        <family val="3"/>
      </rPr>
      <t>---------------------------------------------------------</t>
    </r>
  </si>
  <si>
    <t xml:space="preserve">                                                                                                                                           GO = 0.P | MARKER = 0PS.P</t>
  </si>
  <si>
    <t>//  MARKER                      .              OPS                  .                    BRK                      .</t>
  </si>
  <si>
    <t>//  PRESION                     .            [AOP-236]              .                 [786-236+]                  .</t>
  </si>
  <si>
    <t>//  AOP                         .              05                   .                    786                      .</t>
  </si>
  <si>
    <t>//  VOLATILITY BREAK            .              236                  .                    236+                     .</t>
  </si>
  <si>
    <t>//  TENSION                     .               -                   .                      -                      .</t>
  </si>
  <si>
    <r>
      <t xml:space="preserve">// la tendance est alors dite "confirmer". </t>
    </r>
    <r>
      <rPr>
        <b/>
        <i/>
        <sz val="10"/>
        <color theme="1"/>
        <rFont val="Consolas"/>
        <family val="3"/>
      </rPr>
      <t>Dans le cas contraire le cours va se heurter a un premier niveau de break puis faire un retour</t>
    </r>
    <r>
      <rPr>
        <sz val="10"/>
        <color rgb="FF787B86"/>
        <rFont val="Consolas"/>
        <family val="3"/>
      </rPr>
      <t xml:space="preserve"> </t>
    </r>
  </si>
  <si>
    <r>
      <t xml:space="preserve">// </t>
    </r>
    <r>
      <rPr>
        <b/>
        <i/>
        <sz val="10"/>
        <color theme="1"/>
        <rFont val="Consolas"/>
        <family val="3"/>
      </rPr>
      <t>legerement en dessous du prix de la ligne de tension qui a ete casser c'est ce que j'appel un PRIX DE REVIENT</t>
    </r>
    <r>
      <rPr>
        <sz val="10"/>
        <color rgb="FF787B86"/>
        <rFont val="Consolas"/>
        <family val="3"/>
      </rPr>
      <t xml:space="preserve"> qui</t>
    </r>
  </si>
  <si>
    <t>// la tendance majeure en couurs  est prometteuse</t>
  </si>
  <si>
    <r>
      <t xml:space="preserve">// </t>
    </r>
    <r>
      <rPr>
        <b/>
        <i/>
        <sz val="10"/>
        <color theme="1"/>
        <rFont val="Consolas"/>
        <family val="3"/>
      </rPr>
      <t xml:space="preserve">la zone de pression en partant d'une ligne de correspondnace significative. c'est ce que j'appel la REGLE D'OR  </t>
    </r>
    <r>
      <rPr>
        <sz val="10"/>
        <color rgb="FF787B86"/>
        <rFont val="Consolas"/>
        <family val="3"/>
      </rPr>
      <t>               .</t>
    </r>
  </si>
  <si>
    <r>
      <t xml:space="preserve">// </t>
    </r>
    <r>
      <rPr>
        <b/>
        <i/>
        <sz val="10"/>
        <color theme="1"/>
        <rFont val="Consolas"/>
        <family val="3"/>
      </rPr>
      <t xml:space="preserve">En un mot tout l'art de l'etude standard est de trouver la zone de tension qui se situe dans </t>
    </r>
    <r>
      <rPr>
        <sz val="10"/>
        <color rgb="FF787B86"/>
        <rFont val="Consolas"/>
        <family val="3"/>
      </rPr>
      <t>                                  .</t>
    </r>
  </si>
  <si>
    <t>// placer l'etude standard GO = 0.P MARKER = 0PS.P puis inverser  LINE1 ET LINE2 et utiliser les valeur de l'etude L correspondante</t>
  </si>
  <si>
    <t>// les valeurs de l'etude L correspondante sont des prix legeremenr en dessous des prix exactes de marche</t>
  </si>
  <si>
    <t>1W</t>
  </si>
  <si>
    <t>618H | 786PA</t>
  </si>
  <si>
    <t>SL</t>
  </si>
  <si>
    <t>TP</t>
  </si>
  <si>
    <t>BID</t>
  </si>
  <si>
    <t>0+</t>
  </si>
  <si>
    <t>L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</si>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</sst>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[$$-C0C]"/>
    <numFmt numFmtId="165" formatCode="#,##0.00\ [$$-C0C];[White]#,##0.00\ [$$-C0C]"/>
  </numFmts>
  <fonts count="4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sz val="11"/>
      <color rgb="FFFF010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rgb="FF202124"/>
      <name val="Consolas"/>
      <family val="3"/>
    </font>
    <font>
      <sz val="9"/>
      <color theme="1"/>
      <name val="Consolas"/>
      <family val="3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0"/>
      <color rgb="FFFFFFFF"/>
      <name val="Consolas"/>
      <family val="3"/>
    </font>
    <font>
      <sz val="10"/>
      <color rgb="FF787B86"/>
      <name val="Consolas"/>
      <family val="3"/>
    </font>
    <font>
      <i/>
      <sz val="10"/>
      <color theme="1"/>
      <name val="Calibri"/>
      <family val="2"/>
      <scheme val="minor"/>
    </font>
    <font>
      <b/>
      <sz val="10"/>
      <color rgb="FF787B86"/>
      <name val="Consolas"/>
      <family val="3"/>
    </font>
    <font>
      <b/>
      <i/>
      <sz val="10"/>
      <color rgb="FF787B86"/>
      <name val="Consolas"/>
      <family val="3"/>
    </font>
    <font>
      <sz val="9"/>
      <color theme="0"/>
      <name val="Consolas"/>
      <family val="3"/>
    </font>
    <font>
      <u/>
      <sz val="11"/>
      <color theme="10"/>
      <name val="Calibri"/>
      <family val="2"/>
      <scheme val="minor"/>
    </font>
    <font>
      <b/>
      <sz val="9"/>
      <color rgb="FF0070C0"/>
      <name val="Consolas"/>
      <family val="3"/>
    </font>
    <font>
      <sz val="10"/>
      <name val="Consolas"/>
      <family val="3"/>
    </font>
    <font>
      <i/>
      <sz val="9"/>
      <color rgb="FF202124"/>
      <name val="Consolas"/>
      <family val="3"/>
    </font>
    <font>
      <i/>
      <sz val="9"/>
      <color theme="1"/>
      <name val="Consolas"/>
      <family val="3"/>
    </font>
    <font>
      <i/>
      <sz val="10"/>
      <color theme="1"/>
      <name val="Consolas"/>
      <family val="3"/>
    </font>
    <font>
      <b/>
      <sz val="9"/>
      <color indexed="81"/>
      <name val="Tahoma"/>
      <charset val="1"/>
    </font>
    <font>
      <i/>
      <sz val="9"/>
      <color theme="1"/>
      <name val="Calibri"/>
      <family val="2"/>
      <scheme val="minor"/>
    </font>
    <font>
      <b/>
      <i/>
      <sz val="10"/>
      <color theme="1"/>
      <name val="Consolas"/>
      <family val="3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0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79D39"/>
        <bgColor indexed="64"/>
      </patternFill>
    </fill>
    <fill>
      <patternFill patternType="solid">
        <fgColor rgb="FFE7030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23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8" fillId="2" borderId="8" xfId="0" applyFont="1" applyFill="1" applyBorder="1" applyProtection="1">
      <protection locked="0"/>
    </xf>
    <xf numFmtId="0" fontId="0" fillId="0" borderId="6" xfId="0" applyBorder="1"/>
    <xf numFmtId="0" fontId="0" fillId="0" borderId="9" xfId="0" applyBorder="1" applyAlignment="1">
      <alignment horizontal="left"/>
    </xf>
    <xf numFmtId="2" fontId="0" fillId="0" borderId="10" xfId="0" applyNumberFormat="1" applyFont="1" applyFill="1" applyBorder="1" applyAlignment="1">
      <alignment horizontal="center"/>
    </xf>
    <xf numFmtId="0" fontId="0" fillId="0" borderId="3" xfId="0" applyNumberFormat="1" applyBorder="1" applyAlignment="1">
      <alignment horizontal="right"/>
    </xf>
    <xf numFmtId="0" fontId="2" fillId="0" borderId="6" xfId="0" applyNumberFormat="1" applyFont="1" applyBorder="1" applyAlignment="1">
      <alignment horizontal="right"/>
    </xf>
    <xf numFmtId="0" fontId="0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0" xfId="0" applyFill="1" applyBorder="1" applyAlignment="1">
      <alignment horizontal="center"/>
    </xf>
    <xf numFmtId="0" fontId="0" fillId="0" borderId="13" xfId="0" applyBorder="1" applyAlignment="1">
      <alignment horizontal="left"/>
    </xf>
    <xf numFmtId="2" fontId="0" fillId="0" borderId="4" xfId="0" applyNumberFormat="1" applyFont="1" applyFill="1" applyBorder="1"/>
    <xf numFmtId="0" fontId="0" fillId="0" borderId="14" xfId="0" applyNumberFormat="1" applyBorder="1"/>
    <xf numFmtId="0" fontId="0" fillId="0" borderId="0" xfId="0" applyBorder="1" applyAlignment="1">
      <alignment horizontal="right" vertical="center"/>
    </xf>
    <xf numFmtId="0" fontId="0" fillId="0" borderId="0" xfId="0" applyBorder="1"/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10" xfId="0" applyBorder="1"/>
    <xf numFmtId="0" fontId="0" fillId="0" borderId="0" xfId="0" applyFill="1" applyBorder="1"/>
    <xf numFmtId="0" fontId="4" fillId="0" borderId="0" xfId="0" applyFont="1" applyFill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2" fontId="9" fillId="0" borderId="0" xfId="0" applyNumberFormat="1" applyFont="1" applyBorder="1" applyAlignment="1">
      <alignment horizontal="left"/>
    </xf>
    <xf numFmtId="2" fontId="3" fillId="0" borderId="0" xfId="0" applyNumberFormat="1" applyFont="1" applyBorder="1" applyAlignment="1">
      <alignment horizontal="left"/>
    </xf>
    <xf numFmtId="2" fontId="10" fillId="0" borderId="0" xfId="0" applyNumberFormat="1" applyFont="1" applyBorder="1" applyAlignment="1">
      <alignment horizontal="left"/>
    </xf>
    <xf numFmtId="2" fontId="11" fillId="0" borderId="0" xfId="0" applyNumberFormat="1" applyFont="1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17" fillId="2" borderId="3" xfId="0" applyFont="1" applyFill="1" applyBorder="1" applyAlignment="1" applyProtection="1">
      <protection locked="0"/>
    </xf>
    <xf numFmtId="0" fontId="0" fillId="3" borderId="3" xfId="0" applyNumberFormat="1" applyFill="1" applyBorder="1"/>
    <xf numFmtId="0" fontId="19" fillId="0" borderId="0" xfId="0" applyFont="1"/>
    <xf numFmtId="164" fontId="0" fillId="0" borderId="0" xfId="0" applyNumberForma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0" fontId="7" fillId="4" borderId="7" xfId="0" applyFont="1" applyFill="1" applyBorder="1"/>
    <xf numFmtId="0" fontId="7" fillId="5" borderId="7" xfId="0" applyFont="1" applyFill="1" applyBorder="1"/>
    <xf numFmtId="0" fontId="0" fillId="10" borderId="1" xfId="0" applyNumberFormat="1" applyFont="1" applyFill="1" applyBorder="1" applyAlignment="1">
      <alignment horizontal="left"/>
    </xf>
    <xf numFmtId="0" fontId="0" fillId="4" borderId="1" xfId="0" applyFont="1" applyFill="1" applyBorder="1" applyAlignment="1" applyProtection="1">
      <alignment horizontal="center"/>
    </xf>
    <xf numFmtId="0" fontId="0" fillId="1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9" xfId="0" applyFont="1" applyFill="1" applyBorder="1" applyAlignment="1">
      <alignment horizontal="right" vertical="center"/>
    </xf>
    <xf numFmtId="0" fontId="0" fillId="0" borderId="17" xfId="0" applyFill="1" applyBorder="1" applyAlignment="1">
      <alignment horizontal="right" vertical="center"/>
    </xf>
    <xf numFmtId="0" fontId="0" fillId="12" borderId="1" xfId="0" applyNumberFormat="1" applyFont="1" applyFill="1" applyBorder="1" applyAlignment="1">
      <alignment horizontal="left"/>
    </xf>
    <xf numFmtId="0" fontId="0" fillId="7" borderId="1" xfId="0" applyFont="1" applyFill="1" applyBorder="1" applyAlignment="1" applyProtection="1">
      <alignment horizontal="center"/>
    </xf>
    <xf numFmtId="0" fontId="0" fillId="4" borderId="1" xfId="0" applyNumberFormat="1" applyFont="1" applyFill="1" applyBorder="1" applyAlignment="1">
      <alignment horizontal="left"/>
    </xf>
    <xf numFmtId="0" fontId="0" fillId="0" borderId="1" xfId="0" applyNumberFormat="1" applyFont="1" applyBorder="1" applyAlignment="1">
      <alignment horizontal="right"/>
    </xf>
    <xf numFmtId="0" fontId="0" fillId="5" borderId="1" xfId="0" applyNumberFormat="1" applyFont="1" applyFill="1" applyBorder="1" applyAlignment="1">
      <alignment horizontal="left" vertical="center"/>
    </xf>
    <xf numFmtId="0" fontId="0" fillId="3" borderId="1" xfId="0" applyNumberFormat="1" applyFont="1" applyFill="1" applyBorder="1" applyAlignment="1">
      <alignment horizontal="right"/>
    </xf>
    <xf numFmtId="0" fontId="0" fillId="6" borderId="1" xfId="0" applyNumberFormat="1" applyFont="1" applyFill="1" applyBorder="1" applyAlignment="1">
      <alignment horizontal="left" vertical="center"/>
    </xf>
    <xf numFmtId="0" fontId="0" fillId="9" borderId="1" xfId="0" applyFont="1" applyFill="1" applyBorder="1" applyAlignment="1">
      <alignment horizontal="right"/>
    </xf>
    <xf numFmtId="0" fontId="0" fillId="5" borderId="1" xfId="0" applyNumberFormat="1" applyFont="1" applyFill="1" applyBorder="1" applyAlignment="1">
      <alignment horizontal="left"/>
    </xf>
    <xf numFmtId="0" fontId="0" fillId="13" borderId="1" xfId="0" applyFont="1" applyFill="1" applyBorder="1" applyAlignment="1">
      <alignment horizontal="right"/>
    </xf>
    <xf numFmtId="0" fontId="0" fillId="13" borderId="1" xfId="0" applyNumberFormat="1" applyFont="1" applyFill="1" applyBorder="1" applyAlignment="1">
      <alignment horizontal="right"/>
    </xf>
    <xf numFmtId="0" fontId="0" fillId="15" borderId="1" xfId="0" applyNumberFormat="1" applyFont="1" applyFill="1" applyBorder="1" applyAlignment="1">
      <alignment horizontal="right"/>
    </xf>
    <xf numFmtId="0" fontId="0" fillId="16" borderId="1" xfId="0" applyNumberFormat="1" applyFont="1" applyFill="1" applyBorder="1" applyAlignment="1">
      <alignment horizontal="left"/>
    </xf>
    <xf numFmtId="0" fontId="0" fillId="15" borderId="1" xfId="0" applyNumberFormat="1" applyFont="1" applyFill="1" applyBorder="1" applyAlignment="1">
      <alignment horizontal="left"/>
    </xf>
    <xf numFmtId="0" fontId="0" fillId="15" borderId="1" xfId="0" applyFont="1" applyFill="1" applyBorder="1" applyAlignment="1" applyProtection="1">
      <alignment horizontal="center"/>
    </xf>
    <xf numFmtId="0" fontId="20" fillId="0" borderId="0" xfId="0" applyFont="1"/>
    <xf numFmtId="0" fontId="0" fillId="7" borderId="1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3" fillId="0" borderId="0" xfId="0" applyNumberFormat="1" applyFont="1" applyFill="1" applyBorder="1" applyAlignment="1" applyProtection="1">
      <alignment horizontal="center"/>
    </xf>
    <xf numFmtId="0" fontId="0" fillId="8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/>
    </xf>
    <xf numFmtId="0" fontId="17" fillId="0" borderId="0" xfId="0" applyFont="1" applyFill="1" applyAlignment="1">
      <alignment horizontal="center" textRotation="255"/>
    </xf>
    <xf numFmtId="0" fontId="12" fillId="11" borderId="21" xfId="0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0" fillId="14" borderId="1" xfId="0" applyFont="1" applyFill="1" applyBorder="1" applyAlignment="1" applyProtection="1">
      <alignment horizontal="center"/>
    </xf>
    <xf numFmtId="0" fontId="16" fillId="9" borderId="1" xfId="0" applyFont="1" applyFill="1" applyBorder="1" applyAlignment="1" applyProtection="1">
      <alignment horizontal="center"/>
    </xf>
    <xf numFmtId="0" fontId="0" fillId="0" borderId="0" xfId="0" applyFill="1"/>
    <xf numFmtId="0" fontId="21" fillId="17" borderId="0" xfId="0" applyFont="1" applyFill="1" applyBorder="1" applyAlignment="1" applyProtection="1">
      <alignment horizontal="center"/>
      <protection locked="0"/>
    </xf>
    <xf numFmtId="164" fontId="22" fillId="17" borderId="0" xfId="0" applyNumberFormat="1" applyFont="1" applyFill="1" applyBorder="1" applyAlignment="1">
      <alignment horizontal="center"/>
    </xf>
    <xf numFmtId="165" fontId="22" fillId="6" borderId="0" xfId="0" applyNumberFormat="1" applyFont="1" applyFill="1" applyBorder="1" applyAlignment="1">
      <alignment horizontal="center"/>
    </xf>
    <xf numFmtId="0" fontId="0" fillId="1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right"/>
    </xf>
    <xf numFmtId="0" fontId="0" fillId="14" borderId="16" xfId="0" applyNumberFormat="1" applyFont="1" applyFill="1" applyBorder="1" applyAlignment="1">
      <alignment horizontal="left"/>
    </xf>
    <xf numFmtId="0" fontId="0" fillId="6" borderId="16" xfId="0" applyNumberFormat="1" applyFont="1" applyFill="1" applyBorder="1" applyAlignment="1">
      <alignment horizontal="right"/>
    </xf>
    <xf numFmtId="0" fontId="23" fillId="3" borderId="24" xfId="0" applyNumberFormat="1" applyFont="1" applyFill="1" applyBorder="1" applyAlignment="1">
      <alignment horizontal="left"/>
    </xf>
    <xf numFmtId="0" fontId="23" fillId="5" borderId="25" xfId="0" applyFont="1" applyFill="1" applyBorder="1" applyAlignment="1">
      <alignment horizontal="right"/>
    </xf>
    <xf numFmtId="0" fontId="0" fillId="7" borderId="1" xfId="0" applyNumberFormat="1" applyFont="1" applyFill="1" applyBorder="1" applyAlignment="1">
      <alignment horizontal="left"/>
    </xf>
    <xf numFmtId="0" fontId="0" fillId="6" borderId="7" xfId="0" applyNumberFormat="1" applyFont="1" applyFill="1" applyBorder="1" applyAlignment="1">
      <alignment horizontal="left"/>
    </xf>
    <xf numFmtId="0" fontId="17" fillId="2" borderId="1" xfId="0" applyFont="1" applyFill="1" applyBorder="1" applyAlignment="1" applyProtection="1">
      <alignment horizontal="center"/>
    </xf>
    <xf numFmtId="0" fontId="0" fillId="18" borderId="1" xfId="0" applyNumberFormat="1" applyFont="1" applyFill="1" applyBorder="1" applyAlignment="1">
      <alignment horizontal="left" vertical="center"/>
    </xf>
    <xf numFmtId="0" fontId="0" fillId="18" borderId="1" xfId="0" applyNumberFormat="1" applyFont="1" applyFill="1" applyBorder="1" applyAlignment="1">
      <alignment horizontal="left"/>
    </xf>
    <xf numFmtId="0" fontId="18" fillId="18" borderId="1" xfId="0" applyFont="1" applyFill="1" applyBorder="1" applyAlignment="1">
      <alignment horizontal="right"/>
    </xf>
    <xf numFmtId="0" fontId="0" fillId="18" borderId="1" xfId="0" applyNumberFormat="1" applyFont="1" applyFill="1" applyBorder="1" applyAlignment="1">
      <alignment horizontal="right"/>
    </xf>
    <xf numFmtId="0" fontId="0" fillId="10" borderId="1" xfId="0" applyFont="1" applyFill="1" applyBorder="1" applyAlignment="1">
      <alignment horizontal="right"/>
    </xf>
    <xf numFmtId="0" fontId="0" fillId="0" borderId="26" xfId="0" applyBorder="1"/>
    <xf numFmtId="0" fontId="1" fillId="2" borderId="27" xfId="0" applyFont="1" applyFill="1" applyBorder="1" applyAlignment="1" applyProtection="1">
      <alignment horizontal="center"/>
    </xf>
    <xf numFmtId="0" fontId="1" fillId="2" borderId="27" xfId="0" applyFont="1" applyFill="1" applyBorder="1" applyAlignment="1" applyProtection="1">
      <alignment horizontal="center"/>
      <protection locked="0"/>
    </xf>
    <xf numFmtId="0" fontId="4" fillId="2" borderId="27" xfId="0" applyFont="1" applyFill="1" applyBorder="1" applyAlignment="1" applyProtection="1">
      <alignment horizontal="center"/>
      <protection locked="0"/>
    </xf>
    <xf numFmtId="0" fontId="4" fillId="0" borderId="27" xfId="0" applyFont="1" applyFill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5" fillId="0" borderId="31" xfId="0" applyFont="1" applyFill="1" applyBorder="1" applyAlignment="1">
      <alignment horizontal="center" textRotation="255"/>
    </xf>
    <xf numFmtId="0" fontId="4" fillId="0" borderId="0" xfId="0" applyFont="1" applyFill="1" applyBorder="1" applyAlignment="1">
      <alignment horizontal="center"/>
    </xf>
    <xf numFmtId="2" fontId="0" fillId="0" borderId="0" xfId="0" applyNumberFormat="1" applyBorder="1"/>
    <xf numFmtId="0" fontId="0" fillId="0" borderId="33" xfId="0" applyBorder="1"/>
    <xf numFmtId="0" fontId="0" fillId="7" borderId="3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3" fillId="8" borderId="30" xfId="0" applyFont="1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7" fillId="11" borderId="36" xfId="0" applyFont="1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7" fillId="8" borderId="37" xfId="0" applyFont="1" applyFill="1" applyBorder="1" applyAlignment="1">
      <alignment horizontal="center"/>
    </xf>
    <xf numFmtId="0" fontId="7" fillId="8" borderId="36" xfId="0" applyFont="1" applyFill="1" applyBorder="1" applyAlignment="1">
      <alignment horizontal="center"/>
    </xf>
    <xf numFmtId="0" fontId="0" fillId="8" borderId="40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7" borderId="36" xfId="0" applyFont="1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4" borderId="44" xfId="0" applyFill="1" applyBorder="1" applyAlignment="1">
      <alignment horizontal="center"/>
    </xf>
    <xf numFmtId="2" fontId="24" fillId="17" borderId="0" xfId="0" applyNumberFormat="1" applyFont="1" applyFill="1" applyBorder="1" applyAlignment="1">
      <alignment horizontal="center"/>
    </xf>
    <xf numFmtId="2" fontId="27" fillId="0" borderId="0" xfId="0" applyNumberFormat="1" applyFont="1" applyFill="1" applyBorder="1" applyAlignment="1">
      <alignment horizontal="center"/>
    </xf>
    <xf numFmtId="0" fontId="27" fillId="0" borderId="0" xfId="0" applyFont="1" applyFill="1" applyBorder="1" applyAlignment="1" applyProtection="1">
      <alignment horizontal="center"/>
      <protection locked="0"/>
    </xf>
    <xf numFmtId="0" fontId="20" fillId="0" borderId="0" xfId="0" applyFont="1" applyFill="1"/>
    <xf numFmtId="0" fontId="20" fillId="0" borderId="0" xfId="0" applyFont="1" applyAlignment="1">
      <alignment vertical="center"/>
    </xf>
    <xf numFmtId="0" fontId="30" fillId="2" borderId="15" xfId="0" applyFont="1" applyFill="1" applyBorder="1"/>
    <xf numFmtId="0" fontId="30" fillId="2" borderId="45" xfId="0" applyFont="1" applyFill="1" applyBorder="1"/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Fill="1" applyBorder="1"/>
    <xf numFmtId="0" fontId="20" fillId="0" borderId="0" xfId="0" applyFont="1" applyBorder="1"/>
    <xf numFmtId="0" fontId="20" fillId="0" borderId="48" xfId="0" applyFont="1" applyBorder="1"/>
    <xf numFmtId="0" fontId="26" fillId="0" borderId="47" xfId="0" applyFont="1" applyFill="1" applyBorder="1" applyAlignment="1">
      <alignment vertical="center"/>
    </xf>
    <xf numFmtId="0" fontId="32" fillId="0" borderId="0" xfId="0" applyFont="1" applyBorder="1"/>
    <xf numFmtId="0" fontId="0" fillId="0" borderId="47" xfId="0" applyFill="1" applyBorder="1" applyAlignment="1">
      <alignment vertical="center"/>
    </xf>
    <xf numFmtId="0" fontId="25" fillId="0" borderId="47" xfId="0" applyFont="1" applyFill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0" fillId="0" borderId="49" xfId="0" applyFont="1" applyFill="1" applyBorder="1"/>
    <xf numFmtId="0" fontId="20" fillId="0" borderId="50" xfId="0" applyFont="1" applyBorder="1"/>
    <xf numFmtId="0" fontId="20" fillId="0" borderId="51" xfId="0" applyFont="1" applyBorder="1"/>
    <xf numFmtId="0" fontId="31" fillId="0" borderId="0" xfId="1" applyFill="1" applyBorder="1" applyAlignment="1">
      <alignment vertical="center"/>
    </xf>
    <xf numFmtId="0" fontId="34" fillId="0" borderId="47" xfId="0" applyFont="1" applyFill="1" applyBorder="1"/>
    <xf numFmtId="0" fontId="35" fillId="0" borderId="0" xfId="0" applyFont="1" applyBorder="1"/>
    <xf numFmtId="0" fontId="35" fillId="0" borderId="48" xfId="0" applyFont="1" applyBorder="1"/>
    <xf numFmtId="0" fontId="22" fillId="2" borderId="27" xfId="0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35" fillId="0" borderId="47" xfId="0" applyFont="1" applyFill="1" applyBorder="1"/>
    <xf numFmtId="0" fontId="36" fillId="0" borderId="47" xfId="0" applyFont="1" applyFill="1" applyBorder="1" applyAlignment="1">
      <alignment vertical="center"/>
    </xf>
    <xf numFmtId="0" fontId="20" fillId="0" borderId="15" xfId="0" applyFont="1" applyFill="1" applyBorder="1"/>
    <xf numFmtId="0" fontId="4" fillId="0" borderId="5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3" xfId="0" applyBorder="1"/>
    <xf numFmtId="0" fontId="0" fillId="0" borderId="54" xfId="0" applyBorder="1"/>
    <xf numFmtId="0" fontId="4" fillId="17" borderId="55" xfId="0" applyFont="1" applyFill="1" applyBorder="1" applyAlignment="1">
      <alignment horizontal="center"/>
    </xf>
    <xf numFmtId="0" fontId="4" fillId="17" borderId="56" xfId="0" applyFont="1" applyFill="1" applyBorder="1" applyAlignment="1">
      <alignment horizontal="center"/>
    </xf>
    <xf numFmtId="0" fontId="4" fillId="6" borderId="56" xfId="0" applyFont="1" applyFill="1" applyBorder="1" applyAlignment="1">
      <alignment horizontal="center"/>
    </xf>
    <xf numFmtId="0" fontId="38" fillId="0" borderId="1" xfId="0" applyFont="1" applyBorder="1"/>
    <xf numFmtId="0" fontId="38" fillId="0" borderId="12" xfId="0" applyFont="1" applyFill="1" applyBorder="1"/>
    <xf numFmtId="0" fontId="38" fillId="15" borderId="1" xfId="0" applyFont="1" applyFill="1" applyBorder="1"/>
    <xf numFmtId="0" fontId="38" fillId="0" borderId="1" xfId="0" applyFont="1" applyFill="1" applyBorder="1"/>
    <xf numFmtId="0" fontId="38" fillId="0" borderId="2" xfId="0" applyFont="1" applyBorder="1"/>
    <xf numFmtId="0" fontId="38" fillId="0" borderId="2" xfId="0" applyNumberFormat="1" applyFont="1" applyBorder="1"/>
    <xf numFmtId="0" fontId="1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21" borderId="1" xfId="0" applyFont="1" applyFill="1" applyBorder="1" applyAlignment="1">
      <alignment horizontal="right"/>
    </xf>
    <xf numFmtId="0" fontId="0" fillId="21" borderId="23" xfId="0" applyFont="1" applyFill="1" applyBorder="1" applyAlignment="1">
      <alignment horizontal="right"/>
    </xf>
    <xf numFmtId="0" fontId="0" fillId="5" borderId="0" xfId="0" applyFill="1" applyBorder="1" applyAlignment="1">
      <alignment horizontal="center"/>
    </xf>
    <xf numFmtId="0" fontId="36" fillId="5" borderId="47" xfId="0" applyFont="1" applyFill="1" applyBorder="1" applyAlignment="1">
      <alignment vertical="center"/>
    </xf>
    <xf numFmtId="0" fontId="20" fillId="22" borderId="0" xfId="0" applyFont="1" applyFill="1" applyBorder="1" applyAlignment="1">
      <alignment vertical="center"/>
    </xf>
    <xf numFmtId="0" fontId="20" fillId="23" borderId="0" xfId="0" applyFont="1" applyFill="1" applyBorder="1" applyAlignment="1">
      <alignment vertical="center"/>
    </xf>
    <xf numFmtId="0" fontId="26" fillId="0" borderId="47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/>
    </xf>
    <xf numFmtId="0" fontId="20" fillId="0" borderId="48" xfId="0" applyFont="1" applyBorder="1" applyAlignment="1">
      <alignment horizontal="left"/>
    </xf>
    <xf numFmtId="0" fontId="20" fillId="0" borderId="0" xfId="0" applyFont="1" applyBorder="1" applyAlignment="1">
      <alignment horizontal="left" vertical="center"/>
    </xf>
    <xf numFmtId="0" fontId="20" fillId="0" borderId="48" xfId="0" applyFont="1" applyBorder="1" applyAlignment="1">
      <alignment horizontal="left" vertical="center"/>
    </xf>
    <xf numFmtId="0" fontId="22" fillId="17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2" fontId="40" fillId="17" borderId="0" xfId="0" applyNumberFormat="1" applyFont="1" applyFill="1" applyBorder="1" applyAlignment="1">
      <alignment horizontal="center"/>
    </xf>
    <xf numFmtId="0" fontId="41" fillId="17" borderId="0" xfId="0" applyFont="1" applyFill="1" applyBorder="1" applyAlignment="1" applyProtection="1">
      <alignment horizontal="center"/>
      <protection locked="0"/>
    </xf>
    <xf numFmtId="164" fontId="40" fillId="17" borderId="0" xfId="0" applyNumberFormat="1" applyFont="1" applyFill="1" applyBorder="1" applyAlignment="1">
      <alignment horizontal="center"/>
    </xf>
    <xf numFmtId="0" fontId="40" fillId="17" borderId="0" xfId="0" applyFont="1" applyFill="1" applyBorder="1" applyAlignment="1" applyProtection="1">
      <alignment horizontal="center"/>
    </xf>
    <xf numFmtId="0" fontId="40" fillId="17" borderId="0" xfId="0" applyNumberFormat="1" applyFont="1" applyFill="1" applyBorder="1" applyAlignment="1" applyProtection="1">
      <alignment horizontal="center"/>
    </xf>
    <xf numFmtId="2" fontId="40" fillId="17" borderId="33" xfId="0" applyNumberFormat="1" applyFont="1" applyFill="1" applyBorder="1" applyAlignment="1">
      <alignment horizontal="center"/>
    </xf>
    <xf numFmtId="0" fontId="41" fillId="17" borderId="33" xfId="0" applyFont="1" applyFill="1" applyBorder="1" applyAlignment="1" applyProtection="1">
      <alignment horizontal="center"/>
      <protection locked="0"/>
    </xf>
    <xf numFmtId="0" fontId="40" fillId="17" borderId="33" xfId="0" applyNumberFormat="1" applyFont="1" applyFill="1" applyBorder="1" applyAlignment="1" applyProtection="1">
      <alignment horizontal="center"/>
      <protection locked="0"/>
    </xf>
    <xf numFmtId="165" fontId="42" fillId="6" borderId="0" xfId="0" applyNumberFormat="1" applyFont="1" applyFill="1" applyBorder="1" applyAlignment="1">
      <alignment horizontal="center"/>
    </xf>
    <xf numFmtId="165" fontId="42" fillId="6" borderId="33" xfId="0" applyNumberFormat="1" applyFont="1" applyFill="1" applyBorder="1" applyAlignment="1">
      <alignment horizontal="center"/>
    </xf>
    <xf numFmtId="0" fontId="4" fillId="4" borderId="57" xfId="0" applyFont="1" applyFill="1" applyBorder="1" applyAlignment="1">
      <alignment horizontal="center"/>
    </xf>
    <xf numFmtId="165" fontId="22" fillId="4" borderId="18" xfId="0" applyNumberFormat="1" applyFont="1" applyFill="1" applyBorder="1" applyAlignment="1">
      <alignment horizontal="center"/>
    </xf>
    <xf numFmtId="165" fontId="24" fillId="4" borderId="18" xfId="0" applyNumberFormat="1" applyFont="1" applyFill="1" applyBorder="1" applyAlignment="1">
      <alignment horizontal="center"/>
    </xf>
    <xf numFmtId="165" fontId="24" fillId="4" borderId="16" xfId="0" applyNumberFormat="1" applyFont="1" applyFill="1" applyBorder="1" applyAlignment="1">
      <alignment horizontal="center"/>
    </xf>
    <xf numFmtId="0" fontId="43" fillId="0" borderId="0" xfId="0" applyFont="1" applyFill="1" applyBorder="1" applyAlignment="1" applyProtection="1">
      <alignment horizontal="center"/>
      <protection locked="0"/>
    </xf>
    <xf numFmtId="0" fontId="0" fillId="20" borderId="0" xfId="0" applyFont="1" applyFill="1" applyBorder="1" applyAlignment="1" applyProtection="1">
      <alignment horizontal="center"/>
    </xf>
    <xf numFmtId="0" fontId="0" fillId="19" borderId="0" xfId="0" applyFont="1" applyFill="1" applyAlignment="1" applyProtection="1">
      <alignment horizontal="center"/>
    </xf>
    <xf numFmtId="0" fontId="4" fillId="2" borderId="29" xfId="0" applyFont="1" applyFill="1" applyBorder="1" applyAlignment="1">
      <alignment horizontal="center" textRotation="255"/>
    </xf>
    <xf numFmtId="0" fontId="4" fillId="2" borderId="32" xfId="0" applyFont="1" applyFill="1" applyBorder="1" applyAlignment="1">
      <alignment horizontal="center" textRotation="255"/>
    </xf>
    <xf numFmtId="0" fontId="4" fillId="2" borderId="26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2" borderId="31" xfId="0" applyFont="1" applyFill="1" applyBorder="1" applyAlignment="1">
      <alignment horizontal="center" textRotation="255"/>
    </xf>
    <xf numFmtId="0" fontId="4" fillId="2" borderId="31" xfId="0" applyFont="1" applyFill="1" applyBorder="1" applyAlignment="1">
      <alignment horizontal="center" textRotation="255"/>
    </xf>
  </cellXfs>
  <cellStyles count="2">
    <cellStyle name="Lien hypertexte" xfId="1" builtinId="8"/>
    <cellStyle name="Normal" xfId="0" builtinId="0"/>
  </cellStyles>
  <dxfs count="5"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E70303"/>
      <color rgb="FFFD947F"/>
      <color rgb="FF079D39"/>
      <color rgb="FF53F3A7"/>
      <color rgb="FF09BF46"/>
      <color rgb="FFFEACAC"/>
      <color rgb="FF44546A"/>
      <color rgb="FFDB55A2"/>
      <color rgb="FFFF3300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ejahm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S37"/>
  <sheetViews>
    <sheetView tabSelected="1" zoomScale="90" zoomScaleNormal="90" workbookViewId="0">
      <selection activeCell="C2" sqref="C2"/>
    </sheetView>
  </sheetViews>
  <sheetFormatPr baseColWidth="10" defaultRowHeight="15" x14ac:dyDescent="0.25"/>
  <cols>
    <col min="1" max="1" width="2.140625" customWidth="1"/>
    <col min="2" max="2" width="5.140625" customWidth="1"/>
    <col min="3" max="3" width="21.5703125" customWidth="1"/>
    <col min="4" max="4" width="16.5703125" customWidth="1"/>
    <col min="5" max="5" width="18.7109375" customWidth="1"/>
    <col min="6" max="6" width="16.7109375" customWidth="1"/>
    <col min="7" max="7" width="18.140625" customWidth="1"/>
    <col min="8" max="8" width="18.7109375" customWidth="1"/>
    <col min="9" max="9" width="18" customWidth="1"/>
    <col min="10" max="10" width="12.85546875" customWidth="1"/>
    <col min="11" max="11" width="11.7109375" customWidth="1"/>
    <col min="12" max="12" width="16.140625" customWidth="1"/>
    <col min="13" max="13" width="15.140625" customWidth="1"/>
    <col min="14" max="14" width="2" style="85" customWidth="1"/>
    <col min="15" max="15" width="2" customWidth="1"/>
    <col min="16" max="16" width="4.7109375" customWidth="1"/>
    <col min="17" max="18" width="14.5703125" customWidth="1"/>
    <col min="19" max="19" width="13.42578125" customWidth="1"/>
    <col min="20" max="20" width="4.7109375" customWidth="1"/>
    <col min="27" max="27" width="13.7109375" customWidth="1"/>
    <col min="28" max="28" width="13.5703125" customWidth="1"/>
    <col min="29" max="29" width="12" customWidth="1"/>
  </cols>
  <sheetData>
    <row r="1" spans="1:19" ht="15.75" thickBot="1" x14ac:dyDescent="0.3"/>
    <row r="2" spans="1:19" ht="15.75" x14ac:dyDescent="0.25">
      <c r="B2" s="103"/>
      <c r="C2" s="105" t="s">
        <v>167</v>
      </c>
      <c r="D2" s="104" t="str">
        <f>IF(ABS(H9)&lt;=0.1,"STATIC","NOT STATIC")</f>
        <v>NOT STATIC</v>
      </c>
      <c r="E2" s="172" t="s">
        <v>166</v>
      </c>
      <c r="F2" s="105" t="s">
        <v>168</v>
      </c>
      <c r="G2" s="106" t="s">
        <v>161</v>
      </c>
      <c r="H2" s="106">
        <v>2</v>
      </c>
      <c r="I2" s="106" t="s">
        <v>165</v>
      </c>
      <c r="J2" s="107"/>
      <c r="K2" s="107"/>
      <c r="L2" s="230" t="s">
        <v>0</v>
      </c>
      <c r="M2" s="231"/>
      <c r="N2" s="111"/>
      <c r="O2" s="26"/>
      <c r="P2" s="26"/>
      <c r="Q2" s="227" t="s">
        <v>30</v>
      </c>
      <c r="R2" s="228"/>
      <c r="S2" s="229"/>
    </row>
    <row r="3" spans="1:19" x14ac:dyDescent="0.25">
      <c r="B3" s="108"/>
      <c r="C3" s="20"/>
      <c r="D3" s="20"/>
      <c r="E3" s="20"/>
      <c r="F3" s="20"/>
      <c r="G3" s="20"/>
      <c r="H3" s="20"/>
      <c r="I3" s="20"/>
      <c r="J3" s="20"/>
      <c r="K3" s="20"/>
      <c r="L3" s="20"/>
      <c r="M3" s="109"/>
      <c r="N3" s="25"/>
      <c r="Q3" s="108"/>
      <c r="R3" s="20"/>
      <c r="S3" s="109"/>
    </row>
    <row r="4" spans="1:19" ht="15.75" thickBot="1" x14ac:dyDescent="0.3">
      <c r="B4" s="110"/>
      <c r="C4" s="1" t="s">
        <v>26</v>
      </c>
      <c r="D4" s="2" t="s">
        <v>1</v>
      </c>
      <c r="E4" s="20"/>
      <c r="F4" s="3" t="s">
        <v>33</v>
      </c>
      <c r="G4" s="232" t="s">
        <v>27</v>
      </c>
      <c r="H4" s="233"/>
      <c r="I4" s="4"/>
      <c r="J4" s="5"/>
      <c r="K4" s="20"/>
      <c r="L4" s="76">
        <f>IF(C2="P",Q4,S4)</f>
        <v>5.36</v>
      </c>
      <c r="M4" s="109"/>
      <c r="N4" s="25"/>
      <c r="O4" s="223" t="str">
        <f>IF(C2="P",IF(D2="STATIC",IF(D5&gt;D6,"▼",""),IF(D5&gt;D6,"","▼")),IF(D2="STATIC",IF(D6&gt;D5,"▼",""),IF(D6&gt;D5,"","▼")))</f>
        <v/>
      </c>
      <c r="Q4" s="121">
        <f>D5</f>
        <v>2.0200000000000014</v>
      </c>
      <c r="R4" s="69"/>
      <c r="S4" s="122">
        <f>D6</f>
        <v>5.36</v>
      </c>
    </row>
    <row r="5" spans="1:19" ht="21.75" thickBot="1" x14ac:dyDescent="0.4">
      <c r="B5" s="234" t="s">
        <v>2</v>
      </c>
      <c r="C5" s="42" t="s">
        <v>130</v>
      </c>
      <c r="D5" s="6">
        <v>2.0200000000000014</v>
      </c>
      <c r="E5" s="7"/>
      <c r="F5" s="8" t="s">
        <v>162</v>
      </c>
      <c r="G5" s="9" t="str">
        <f>TEXT(H19&amp;" | "&amp;F18,0)</f>
        <v>5,2 | 5,17</v>
      </c>
      <c r="H5" s="10">
        <f>ABS(H19-F18)</f>
        <v>3.0000000000000249E-2</v>
      </c>
      <c r="I5" s="11"/>
      <c r="J5" s="12"/>
      <c r="K5" s="20"/>
      <c r="L5" s="74" t="str">
        <f>IF(C2="P",Q5,TEXT( S5 &amp;" | " &amp;G19,"0,00"))</f>
        <v>5,17 | 5,25</v>
      </c>
      <c r="M5" s="109"/>
      <c r="N5" s="25"/>
      <c r="O5" s="204"/>
      <c r="Q5" s="121">
        <f>H14</f>
        <v>2.2200000000000002</v>
      </c>
      <c r="R5" s="69"/>
      <c r="S5" s="123">
        <f>F18</f>
        <v>5.17</v>
      </c>
    </row>
    <row r="6" spans="1:19" ht="21" x14ac:dyDescent="0.35">
      <c r="B6" s="234"/>
      <c r="C6" s="43" t="s">
        <v>131</v>
      </c>
      <c r="D6" s="6">
        <v>5.36</v>
      </c>
      <c r="E6" s="7"/>
      <c r="F6" s="13"/>
      <c r="G6" s="3" t="str">
        <f>TEXT(" AOPV  | " &amp;ROUNDDOWN((((G15/F15)*100)-100),H2)&amp;" % ","0,00")</f>
        <v xml:space="preserve"> AOPV  | 2,17 % </v>
      </c>
      <c r="H6" s="38">
        <f>ABS(ROUNDDOWN(IF(C2="P",(F15-G15),(G15-F15)),H2))</f>
        <v>0.06</v>
      </c>
      <c r="I6" s="14"/>
      <c r="J6" s="15"/>
      <c r="K6" s="20"/>
      <c r="L6" s="76" t="str">
        <f>IF(C2="P",Q6,S6)</f>
        <v>BRK|4,91</v>
      </c>
      <c r="M6" s="109"/>
      <c r="N6" s="25"/>
      <c r="O6" s="207"/>
      <c r="Q6" s="121">
        <f>G14</f>
        <v>2.4499999999999997</v>
      </c>
      <c r="R6" s="69"/>
      <c r="S6" s="124" t="str">
        <f>I14</f>
        <v>BRK|4,91</v>
      </c>
    </row>
    <row r="7" spans="1:19" x14ac:dyDescent="0.25">
      <c r="B7" s="234"/>
      <c r="C7" s="184" t="s">
        <v>3</v>
      </c>
      <c r="D7" s="185">
        <f>D5-D6</f>
        <v>-3.339999999999999</v>
      </c>
      <c r="E7" s="20"/>
      <c r="F7" s="16"/>
      <c r="G7" s="17" t="s">
        <v>4</v>
      </c>
      <c r="H7" s="18">
        <f>IF(E2="BRK",D5-ROUNDDOWN((F18+G18)/2,H2),IF(E2="AOP",D5-F15,IF(E2="GAP",D5-F16,IF(E2="COR",D5-((D16+G14)/2),IF(E2="382+",D5-((G17+D8)/2),IF(E2="0+",D5-G14,D5-F15))))))</f>
        <v>-0.42999999999999838</v>
      </c>
      <c r="I7" s="14"/>
      <c r="J7" s="19"/>
      <c r="K7" s="20"/>
      <c r="L7" s="75" t="str">
        <f>IF(C2="P",Q7,S7)</f>
        <v>236+|4,74</v>
      </c>
      <c r="M7" s="109"/>
      <c r="N7" s="25"/>
      <c r="O7" s="205"/>
      <c r="Q7" s="125">
        <f>D15</f>
        <v>2.62</v>
      </c>
      <c r="R7" s="69"/>
      <c r="S7" s="126" t="str">
        <f>I15</f>
        <v>236+|4,74</v>
      </c>
    </row>
    <row r="8" spans="1:19" x14ac:dyDescent="0.25">
      <c r="A8" s="20"/>
      <c r="B8" s="234"/>
      <c r="C8" s="186" t="s">
        <v>5</v>
      </c>
      <c r="D8" s="186">
        <f>E16</f>
        <v>4.57</v>
      </c>
      <c r="E8" s="20"/>
      <c r="F8" s="20"/>
      <c r="G8" s="3" t="s">
        <v>6</v>
      </c>
      <c r="H8" s="21">
        <f>D5-H10</f>
        <v>-2.8999999999999986</v>
      </c>
      <c r="I8" s="22"/>
      <c r="J8" s="19"/>
      <c r="K8" s="20"/>
      <c r="L8" s="77">
        <f>IF(C2="P",Q8,S8)</f>
        <v>4.6500000000000004</v>
      </c>
      <c r="M8" s="109"/>
      <c r="N8" s="25"/>
      <c r="O8" s="207"/>
      <c r="Q8" s="127" t="str">
        <f>S23</f>
        <v>COR|2,72</v>
      </c>
      <c r="R8" s="69"/>
      <c r="S8" s="123">
        <f>Q23</f>
        <v>4.6500000000000004</v>
      </c>
    </row>
    <row r="9" spans="1:19" ht="17.25" customHeight="1" x14ac:dyDescent="0.25">
      <c r="A9" s="20"/>
      <c r="B9" s="234"/>
      <c r="C9" s="184" t="s">
        <v>7</v>
      </c>
      <c r="D9" s="187">
        <f>D5-D8</f>
        <v>-2.5499999999999989</v>
      </c>
      <c r="E9" s="20"/>
      <c r="F9" s="20"/>
      <c r="G9" s="3" t="s">
        <v>8</v>
      </c>
      <c r="H9" s="23">
        <f>ROUNDDOWN(H8-H7,H2)</f>
        <v>-2.4700000000000002</v>
      </c>
      <c r="I9" s="22" t="s">
        <v>32</v>
      </c>
      <c r="J9" s="20"/>
      <c r="K9" s="20"/>
      <c r="L9" s="74" t="str">
        <f>IF(C2="P",Q9,S9)</f>
        <v>BASE|4,57</v>
      </c>
      <c r="M9" s="109"/>
      <c r="N9" s="25"/>
      <c r="O9" s="207"/>
      <c r="Q9" s="128" t="str">
        <f>S22</f>
        <v>BASE+|2,8</v>
      </c>
      <c r="R9" s="69"/>
      <c r="S9" s="122" t="str">
        <f>I20</f>
        <v>BASE|4,57</v>
      </c>
    </row>
    <row r="10" spans="1:19" ht="18.75" x14ac:dyDescent="0.3">
      <c r="A10" s="20"/>
      <c r="B10" s="234"/>
      <c r="C10" s="188" t="s">
        <v>9</v>
      </c>
      <c r="D10" s="189">
        <f>ROUNDDOWN((G15-F19)/(1-0.236),H2)</f>
        <v>-3.57</v>
      </c>
      <c r="E10" s="20" t="s">
        <v>32</v>
      </c>
      <c r="F10" s="20"/>
      <c r="G10" s="3" t="s">
        <v>28</v>
      </c>
      <c r="H10" s="37">
        <v>4.92</v>
      </c>
      <c r="I10" s="20"/>
      <c r="J10" s="20"/>
      <c r="K10" s="20"/>
      <c r="L10" s="74" t="str">
        <f>IF(C2="P",Q10,S10)</f>
        <v>382+| 4,4</v>
      </c>
      <c r="M10" s="109"/>
      <c r="N10" s="25"/>
      <c r="O10" s="207"/>
      <c r="Q10" s="129">
        <f>D16</f>
        <v>2.99</v>
      </c>
      <c r="R10" s="69"/>
      <c r="S10" s="130" t="str">
        <f>I16</f>
        <v>382+| 4,4</v>
      </c>
    </row>
    <row r="11" spans="1:19" ht="15.75" thickBot="1" x14ac:dyDescent="0.3">
      <c r="A11" s="20"/>
      <c r="B11" s="108"/>
      <c r="C11" s="24"/>
      <c r="D11" s="24"/>
      <c r="E11" s="20"/>
      <c r="F11" s="20"/>
      <c r="G11" s="20"/>
      <c r="H11" s="20"/>
      <c r="I11" s="20"/>
      <c r="J11" s="25"/>
      <c r="K11" s="20"/>
      <c r="L11" s="194">
        <f>IF(C2="P",Q11,S11)</f>
        <v>4.2300000000000004</v>
      </c>
      <c r="M11" s="109"/>
      <c r="N11" s="25"/>
      <c r="O11" s="205"/>
      <c r="Q11" s="125">
        <f>H15</f>
        <v>3.11</v>
      </c>
      <c r="R11" s="69"/>
      <c r="S11" s="122">
        <f>G17</f>
        <v>4.2300000000000004</v>
      </c>
    </row>
    <row r="12" spans="1:19" ht="19.5" thickBot="1" x14ac:dyDescent="0.35">
      <c r="A12" s="20"/>
      <c r="B12" s="108"/>
      <c r="C12" s="20"/>
      <c r="D12" s="20"/>
      <c r="E12" s="20"/>
      <c r="F12" s="20"/>
      <c r="G12" s="111"/>
      <c r="H12" s="20"/>
      <c r="I12" s="20"/>
      <c r="J12" s="20"/>
      <c r="K12" s="20"/>
      <c r="L12" s="79">
        <f>IF(C2="P",F15,S12)</f>
        <v>4.12</v>
      </c>
      <c r="M12" s="78">
        <f>IF(C2="P",Q13,D19)</f>
        <v>4.0199999999999996</v>
      </c>
      <c r="N12" s="190"/>
      <c r="Q12" s="125">
        <f>F15</f>
        <v>3.22</v>
      </c>
      <c r="R12" s="69"/>
      <c r="S12" s="122">
        <f>H17</f>
        <v>4.12</v>
      </c>
    </row>
    <row r="13" spans="1:19" ht="15.75" x14ac:dyDescent="0.25">
      <c r="A13" s="20"/>
      <c r="B13" s="108"/>
      <c r="C13" s="27" t="s">
        <v>10</v>
      </c>
      <c r="D13" s="47" t="s">
        <v>11</v>
      </c>
      <c r="E13" s="48" t="s">
        <v>22</v>
      </c>
      <c r="F13" s="49" t="s">
        <v>21</v>
      </c>
      <c r="G13" s="50" t="s">
        <v>12</v>
      </c>
      <c r="H13" s="51" t="s">
        <v>13</v>
      </c>
      <c r="I13" s="29" t="s">
        <v>29</v>
      </c>
      <c r="J13" s="30"/>
      <c r="K13" s="20"/>
      <c r="L13" s="20"/>
      <c r="M13" s="114">
        <f>IF(C2="P",S17,Q17)</f>
        <v>3.96</v>
      </c>
      <c r="N13" s="15"/>
      <c r="Q13" s="131">
        <f>G15</f>
        <v>3.29</v>
      </c>
      <c r="R13" s="68">
        <f>D17</f>
        <v>3.29</v>
      </c>
      <c r="S13" s="132">
        <f>D19</f>
        <v>4.0199999999999996</v>
      </c>
    </row>
    <row r="14" spans="1:19" ht="19.5" thickBot="1" x14ac:dyDescent="0.35">
      <c r="A14" s="20"/>
      <c r="B14" s="235" t="s">
        <v>127</v>
      </c>
      <c r="C14" s="28">
        <v>0</v>
      </c>
      <c r="D14" s="52">
        <f>D5</f>
        <v>2.0200000000000014</v>
      </c>
      <c r="E14" s="52">
        <f>D5</f>
        <v>2.0200000000000014</v>
      </c>
      <c r="F14" s="89">
        <f>D5</f>
        <v>2.0200000000000014</v>
      </c>
      <c r="G14" s="90">
        <f>F19+D10</f>
        <v>2.4499999999999997</v>
      </c>
      <c r="H14" s="102">
        <f>ROUNDDOWN((((H18-F19)/(1-0.618))+F19),H2)</f>
        <v>2.2200000000000002</v>
      </c>
      <c r="I14" s="97" t="str">
        <f>TEXT("BRK|" &amp;ROUNDDOWN((F18+G18)/2,H2),"0,00")</f>
        <v>BRK|4,91</v>
      </c>
      <c r="J14" s="31"/>
      <c r="K14" s="20"/>
      <c r="L14" s="20"/>
      <c r="M14" s="115">
        <f>IF(C2="P",Q14,S14)</f>
        <v>3.81</v>
      </c>
      <c r="N14" s="15"/>
      <c r="O14" s="205"/>
      <c r="Q14" s="133">
        <f>E15</f>
        <v>3.59</v>
      </c>
      <c r="R14" s="72">
        <f>D18</f>
        <v>3.59</v>
      </c>
      <c r="S14" s="134">
        <f>G16</f>
        <v>3.81</v>
      </c>
    </row>
    <row r="15" spans="1:19" ht="19.5" customHeight="1" thickBot="1" x14ac:dyDescent="0.4">
      <c r="A15" s="20"/>
      <c r="B15" s="235"/>
      <c r="C15" s="28">
        <v>0.23599999999999999</v>
      </c>
      <c r="D15" s="95">
        <f>ROUNDDOWN((D5-(C15/1)*D9),H2)</f>
        <v>2.62</v>
      </c>
      <c r="E15" s="96">
        <f>ROUNDDOWN((D5-(C15/0.5)*D7),H2)</f>
        <v>3.59</v>
      </c>
      <c r="F15" s="93">
        <f>ROUNDDOWN((D5-(C15/0.5)*D9),H2)</f>
        <v>3.22</v>
      </c>
      <c r="G15" s="94">
        <f>D17</f>
        <v>3.29</v>
      </c>
      <c r="H15" s="193">
        <f>ROUNDDOWN(H14-((C15/1)*(H14-F19)),H2)</f>
        <v>3.11</v>
      </c>
      <c r="I15" s="53" t="str">
        <f>TEXT("236+|" &amp;ROUNDDOWN((D8+(F18+G18)/2)/2,H2),"0,00")</f>
        <v>236+|4,74</v>
      </c>
      <c r="J15" s="32"/>
      <c r="K15" s="20"/>
      <c r="L15" s="20"/>
      <c r="M15" s="116">
        <f>Q15</f>
        <v>3.67</v>
      </c>
      <c r="N15" s="191"/>
      <c r="O15" s="205"/>
      <c r="Q15" s="135">
        <f>H16</f>
        <v>3.67</v>
      </c>
      <c r="R15" s="71">
        <f>H16</f>
        <v>3.67</v>
      </c>
      <c r="S15" s="136">
        <f>H16</f>
        <v>3.67</v>
      </c>
    </row>
    <row r="16" spans="1:19" x14ac:dyDescent="0.25">
      <c r="B16" s="235"/>
      <c r="C16" s="28">
        <v>0.38200000000000001</v>
      </c>
      <c r="D16" s="54">
        <f>ROUNDDOWN((D5-(C16/1)*D9),H2)</f>
        <v>2.99</v>
      </c>
      <c r="E16" s="65">
        <f>ROUNDDOWN((D5-(C16/0.5)*D7),H2)</f>
        <v>4.57</v>
      </c>
      <c r="F16" s="91">
        <f>ROUNDDOWN((D5-(C16/0.5)*D9),H2)</f>
        <v>3.96</v>
      </c>
      <c r="G16" s="92">
        <f>ROUNDDOWN((F19+D10)-((C16/1)*D10),H2)</f>
        <v>3.81</v>
      </c>
      <c r="H16" s="55">
        <f>ROUNDDOWN(H14-((C16/1)*(H14-F19)),H2)</f>
        <v>3.67</v>
      </c>
      <c r="I16" s="45" t="str">
        <f>TEXT("382+| " &amp;ROUNDDOWN((G17+D8)/2,H2),"0,00")</f>
        <v>382+| 4,4</v>
      </c>
      <c r="J16" s="32"/>
      <c r="K16" s="20"/>
      <c r="L16" s="20"/>
      <c r="M16" s="117">
        <f>IF(C2="P",Q16,S16)</f>
        <v>3.59</v>
      </c>
      <c r="N16" s="15"/>
      <c r="O16" s="207"/>
      <c r="Q16" s="137">
        <f>S14</f>
        <v>3.81</v>
      </c>
      <c r="R16" s="5"/>
      <c r="S16" s="138">
        <f>Q14</f>
        <v>3.59</v>
      </c>
    </row>
    <row r="17" spans="1:19" ht="15.75" thickBot="1" x14ac:dyDescent="0.3">
      <c r="B17" s="235"/>
      <c r="C17" s="28">
        <v>0.5</v>
      </c>
      <c r="D17" s="56">
        <f>ROUNDDOWN((D5-(C17/1)*D9),H2)</f>
        <v>3.29</v>
      </c>
      <c r="E17" s="46">
        <f>ROUNDDOWN((D5-(C17/0.5)*D7),H2)</f>
        <v>5.36</v>
      </c>
      <c r="F17" s="65">
        <f>ROUNDDOWN((D5-(C17/0.5)*D9),H2)</f>
        <v>4.57</v>
      </c>
      <c r="G17" s="192">
        <f>ROUNDDOWN((F19+D10)-((C17/1)*D10),H2)</f>
        <v>4.2300000000000004</v>
      </c>
      <c r="H17" s="57">
        <f>ROUNDDOWN(H14-((C17/1)*(H14-F19)),H2)</f>
        <v>4.12</v>
      </c>
      <c r="I17" s="83" t="str">
        <f>TEXT("GAP|" &amp;ROUNDDOWN((D17+D18)/2,H2),"0,00")</f>
        <v>GAP|3,44</v>
      </c>
      <c r="J17" s="33"/>
      <c r="K17" s="20"/>
      <c r="L17" s="20"/>
      <c r="M17" s="114" t="str">
        <f>IF(C2="P",Q17,S17)</f>
        <v>GAP|3,44</v>
      </c>
      <c r="N17" s="15"/>
      <c r="O17" s="205"/>
      <c r="Q17" s="128">
        <f>F16</f>
        <v>3.96</v>
      </c>
      <c r="R17" s="5"/>
      <c r="S17" s="139" t="str">
        <f>I17</f>
        <v>GAP|3,44</v>
      </c>
    </row>
    <row r="18" spans="1:19" ht="18.75" x14ac:dyDescent="0.3">
      <c r="B18" s="235"/>
      <c r="C18" s="28">
        <v>0.61799999999999999</v>
      </c>
      <c r="D18" s="58">
        <f>ROUNDDOWN((D5-(C18/1)*D9),H2)</f>
        <v>3.59</v>
      </c>
      <c r="E18" s="98">
        <f>ROUNDDOWN((D5-(C18/0.5)*D7),H2)</f>
        <v>6.14</v>
      </c>
      <c r="F18" s="44">
        <f>ROUNDDOWN((D5-(C18/0.5)*D9),H2)</f>
        <v>5.17</v>
      </c>
      <c r="G18" s="59">
        <f>ROUNDDOWN((F19+D10)-((C18/1)*D10),H2)</f>
        <v>4.6500000000000004</v>
      </c>
      <c r="H18" s="63">
        <f>D8</f>
        <v>4.57</v>
      </c>
      <c r="I18" s="84" t="str">
        <f>TEXT("COR|" &amp;ROUNDDOWN((D16+G14)/2,H2),"0,00")</f>
        <v>COR|2,72</v>
      </c>
      <c r="J18" s="34"/>
      <c r="K18" s="20"/>
      <c r="L18" s="20"/>
      <c r="M18" s="81">
        <f>IF(C2="P",Q18,S18)</f>
        <v>3.29</v>
      </c>
      <c r="N18" s="190"/>
      <c r="O18" s="205"/>
      <c r="Q18" s="140">
        <f>D19</f>
        <v>4.0199999999999996</v>
      </c>
      <c r="R18" s="5"/>
      <c r="S18" s="122">
        <f>D17</f>
        <v>3.29</v>
      </c>
    </row>
    <row r="19" spans="1:19" ht="19.5" thickBot="1" x14ac:dyDescent="0.35">
      <c r="B19" s="235"/>
      <c r="C19" s="28">
        <v>0.78600000000000003</v>
      </c>
      <c r="D19" s="60">
        <f>ROUNDDOWN((D5-(C19/1)*D9),H2)</f>
        <v>4.0199999999999996</v>
      </c>
      <c r="E19" s="64">
        <f>ROUNDDOWN((D5-(C19/0.5)*D7),H2)</f>
        <v>7.27</v>
      </c>
      <c r="F19" s="99">
        <f>ROUNDDOWN((D5-(C19/0.5)*D9),H2)</f>
        <v>6.02</v>
      </c>
      <c r="G19" s="61">
        <f>ROUNDDOWN((F19+D10)-((C19/1)*D10),H2)</f>
        <v>5.25</v>
      </c>
      <c r="H19" s="62">
        <f>ROUNDDOWN(H14-((C19/1)*(H14-F19)),H2)</f>
        <v>5.2</v>
      </c>
      <c r="I19" s="66" t="str">
        <f>TEXT("BASE+|"&amp;IF(C2="P",((D16+G14)/2)+(G18-D8),((D16+G14)/2)-(D8-G18)),"0,00")</f>
        <v>BASE+|2,8</v>
      </c>
      <c r="J19" s="35"/>
      <c r="K19" s="20"/>
      <c r="L19" s="20"/>
      <c r="M19" s="82">
        <f>IF(C2="P",Q19,S19)</f>
        <v>3.22</v>
      </c>
      <c r="N19" s="190"/>
      <c r="O19" s="205"/>
      <c r="Q19" s="141">
        <f>S12</f>
        <v>4.12</v>
      </c>
      <c r="R19" s="5"/>
      <c r="S19" s="126">
        <f>Q12</f>
        <v>3.22</v>
      </c>
    </row>
    <row r="20" spans="1:19" x14ac:dyDescent="0.25">
      <c r="B20" s="235"/>
      <c r="C20" s="28">
        <v>1</v>
      </c>
      <c r="D20" s="65">
        <f>D8</f>
        <v>4.57</v>
      </c>
      <c r="E20" s="64">
        <f>ROUNDDOWN((D5-(C20/0.5)*D7),H2)</f>
        <v>8.6999999999999993</v>
      </c>
      <c r="F20" s="64">
        <f>ROUNDDOWN((D5-(C20/0.5)*D9),H2)</f>
        <v>7.12</v>
      </c>
      <c r="G20" s="100">
        <f>F19</f>
        <v>6.02</v>
      </c>
      <c r="H20" s="101">
        <f>ROUNDDOWN(H14-((C20/1)*(H14-F19)),H2)</f>
        <v>6.02</v>
      </c>
      <c r="I20" s="66" t="str">
        <f>TEXT("BASE|" &amp;D8,"0,00")</f>
        <v>BASE|4,57</v>
      </c>
      <c r="J20" s="36"/>
      <c r="K20" s="20"/>
      <c r="L20" s="20"/>
      <c r="M20" s="118">
        <f>IF(C2="P",Q20,S20)</f>
        <v>3.11</v>
      </c>
      <c r="N20" s="15"/>
      <c r="O20" s="205"/>
      <c r="Q20" s="141">
        <f>S11</f>
        <v>4.2300000000000004</v>
      </c>
      <c r="R20" s="5"/>
      <c r="S20" s="126">
        <f>Q11</f>
        <v>3.11</v>
      </c>
    </row>
    <row r="21" spans="1:19" x14ac:dyDescent="0.25">
      <c r="B21" s="108"/>
      <c r="C21" s="20"/>
      <c r="D21" s="112"/>
      <c r="E21" s="112"/>
      <c r="F21" s="112"/>
      <c r="G21" s="20"/>
      <c r="H21" s="20"/>
      <c r="I21" s="20"/>
      <c r="J21" s="20"/>
      <c r="K21" s="20"/>
      <c r="L21" s="20"/>
      <c r="M21" s="117">
        <f>IF(C2="P",Q21,S21)</f>
        <v>2.99</v>
      </c>
      <c r="N21" s="15"/>
      <c r="O21" s="207"/>
      <c r="Q21" s="129" t="str">
        <f>S10</f>
        <v>382+| 4,4</v>
      </c>
      <c r="R21" s="69"/>
      <c r="S21" s="130">
        <f>Q10</f>
        <v>2.99</v>
      </c>
    </row>
    <row r="22" spans="1:19" x14ac:dyDescent="0.25">
      <c r="B22" s="108"/>
      <c r="C22" s="177"/>
      <c r="D22" s="178"/>
      <c r="E22" s="179"/>
      <c r="F22" s="179"/>
      <c r="G22" s="179"/>
      <c r="H22" s="179"/>
      <c r="I22" s="179"/>
      <c r="J22" s="179"/>
      <c r="K22" s="180"/>
      <c r="L22" s="20"/>
      <c r="M22" s="117" t="str">
        <f>IF(C2="P",Q22,S22)</f>
        <v>BASE+|2,8</v>
      </c>
      <c r="N22" s="15"/>
      <c r="O22" s="205" t="s">
        <v>31</v>
      </c>
      <c r="Q22" s="129" t="str">
        <f>I20</f>
        <v>BASE|4,57</v>
      </c>
      <c r="R22" s="70"/>
      <c r="S22" s="122" t="str">
        <f>I19</f>
        <v>BASE+|2,8</v>
      </c>
    </row>
    <row r="23" spans="1:19" ht="16.5" customHeight="1" x14ac:dyDescent="0.25">
      <c r="A23" s="20"/>
      <c r="B23" s="108"/>
      <c r="C23" s="181" t="s">
        <v>19</v>
      </c>
      <c r="D23" s="182" t="s">
        <v>14</v>
      </c>
      <c r="E23" s="182" t="s">
        <v>15</v>
      </c>
      <c r="F23" s="182" t="s">
        <v>16</v>
      </c>
      <c r="G23" s="182" t="s">
        <v>17</v>
      </c>
      <c r="H23" s="182" t="s">
        <v>164</v>
      </c>
      <c r="I23" s="182" t="s">
        <v>163</v>
      </c>
      <c r="J23" s="183" t="s">
        <v>18</v>
      </c>
      <c r="K23" s="218" t="s">
        <v>20</v>
      </c>
      <c r="L23" s="20"/>
      <c r="M23" s="115" t="str">
        <f>IF(C2="P",Q23,S23)</f>
        <v>COR|2,72</v>
      </c>
      <c r="N23" s="15"/>
      <c r="O23" s="206"/>
      <c r="Q23" s="127">
        <f>G18</f>
        <v>4.6500000000000004</v>
      </c>
      <c r="R23" s="69"/>
      <c r="S23" s="123" t="str">
        <f>I18</f>
        <v>COR|2,72</v>
      </c>
    </row>
    <row r="24" spans="1:19" ht="21.75" customHeight="1" x14ac:dyDescent="0.3">
      <c r="A24" s="20"/>
      <c r="B24" s="225" t="s">
        <v>25</v>
      </c>
      <c r="C24" s="145" t="str">
        <f>TEXT("["&amp;ROUNDDOWN((((H24/G24)*100)-100),2)&amp;" %] ","0,00")</f>
        <v xml:space="preserve">[1850,72 %] </v>
      </c>
      <c r="D24" s="86">
        <v>1</v>
      </c>
      <c r="E24" s="86">
        <v>20</v>
      </c>
      <c r="F24" s="87">
        <f>G24*D24/E24</f>
        <v>0.20600000000000002</v>
      </c>
      <c r="G24" s="203">
        <f>IF(ISNUMBER(SEARCH("|", L12)), MID(L12,FIND("|",L12,1)+1,LEN(L12)), L12)</f>
        <v>4.12</v>
      </c>
      <c r="H24" s="203">
        <f>80.37</f>
        <v>80.37</v>
      </c>
      <c r="I24" s="203">
        <f>25</f>
        <v>25</v>
      </c>
      <c r="J24" s="88">
        <f>(G24-I24)*D24</f>
        <v>-20.88</v>
      </c>
      <c r="K24" s="219">
        <f>(H24-G24)*D24</f>
        <v>76.25</v>
      </c>
      <c r="L24" s="20"/>
      <c r="M24" s="114">
        <f>IF(C2="P",Q24,S24)</f>
        <v>2.62</v>
      </c>
      <c r="N24" s="15"/>
      <c r="O24" s="206"/>
      <c r="Q24" s="125" t="str">
        <f>S7</f>
        <v>236+|4,74</v>
      </c>
      <c r="R24" s="69"/>
      <c r="S24" s="126">
        <f>Q7</f>
        <v>2.62</v>
      </c>
    </row>
    <row r="25" spans="1:19" ht="21" customHeight="1" x14ac:dyDescent="0.3">
      <c r="B25" s="225"/>
      <c r="C25" s="208" t="str">
        <f>TEXT("["&amp;ROUNDDOWN((((H25/G25)*100)-100),2)&amp;" %] ","0,00")</f>
        <v xml:space="preserve">[25,57 %] </v>
      </c>
      <c r="D25" s="209">
        <v>0</v>
      </c>
      <c r="E25" s="209">
        <v>0</v>
      </c>
      <c r="F25" s="210" t="e">
        <f>G25*D25/E25</f>
        <v>#DIV/0!</v>
      </c>
      <c r="G25" s="211">
        <f>IF(ISNUMBER(SEARCH("|", M24)), MID(M24,FIND("|",M24,1)+1,LEN(M24)), M24)</f>
        <v>2.62</v>
      </c>
      <c r="H25" s="211">
        <f>M18</f>
        <v>3.29</v>
      </c>
      <c r="I25" s="211">
        <f>IF(H25&gt;G25,(G25-H5),(G25+H5))</f>
        <v>2.59</v>
      </c>
      <c r="J25" s="216">
        <f>(G25-I25)*D25</f>
        <v>0</v>
      </c>
      <c r="K25" s="220">
        <f>(H25-G25)*D25</f>
        <v>0</v>
      </c>
      <c r="L25" s="20"/>
      <c r="M25" s="119">
        <f>IF(C2="P",Q25,S25)</f>
        <v>2.4499999999999997</v>
      </c>
      <c r="N25" s="15"/>
      <c r="O25" s="207"/>
      <c r="Q25" s="121" t="str">
        <f>S6</f>
        <v>BRK|4,91</v>
      </c>
      <c r="R25" s="69"/>
      <c r="S25" s="124">
        <f>Q6</f>
        <v>2.4499999999999997</v>
      </c>
    </row>
    <row r="26" spans="1:19" ht="19.5" customHeight="1" x14ac:dyDescent="0.3">
      <c r="B26" s="225"/>
      <c r="C26" s="208" t="str">
        <f>TEXT("["&amp;ROUNDDOWN((((H26/G26)*100)-100),2)&amp;" %] ","0,00")</f>
        <v xml:space="preserve">[57,25 %] </v>
      </c>
      <c r="D26" s="209">
        <v>0</v>
      </c>
      <c r="E26" s="209">
        <v>0</v>
      </c>
      <c r="F26" s="210" t="e">
        <f>G26*D26/E26</f>
        <v>#DIV/0!</v>
      </c>
      <c r="G26" s="212">
        <f>IF(ISNUMBER(SEARCH("|", M24)), MID(M24,FIND("|",M24,1)+1,LEN(M24)), M24)</f>
        <v>2.62</v>
      </c>
      <c r="H26" s="212">
        <f>L12</f>
        <v>4.12</v>
      </c>
      <c r="I26" s="211">
        <f>IF(H26&gt;G26,(G26-H5),(G26+H5))</f>
        <v>2.59</v>
      </c>
      <c r="J26" s="216">
        <f>(G26-I26)*D26</f>
        <v>0</v>
      </c>
      <c r="K26" s="220">
        <f>(H26-G26)*D26</f>
        <v>0</v>
      </c>
      <c r="L26" s="20"/>
      <c r="M26" s="115">
        <f>IF(C2="P",TEXT( Q26 &amp;" | " &amp;G19,"0,00"),S26)</f>
        <v>2.2200000000000002</v>
      </c>
      <c r="N26" s="15"/>
      <c r="O26" s="206"/>
      <c r="Q26" s="127">
        <f>F18</f>
        <v>5.17</v>
      </c>
      <c r="R26" s="69"/>
      <c r="S26" s="124">
        <f>H14</f>
        <v>2.2200000000000002</v>
      </c>
    </row>
    <row r="27" spans="1:19" ht="19.5" thickBot="1" x14ac:dyDescent="0.35">
      <c r="B27" s="226"/>
      <c r="C27" s="213" t="e">
        <f>TEXT("["&amp;ROUNDDOWN((((H27/G27)*100)-100),2)&amp;" %] ","0,00")</f>
        <v>#VALUE!</v>
      </c>
      <c r="D27" s="214">
        <v>1</v>
      </c>
      <c r="E27" s="214">
        <v>200</v>
      </c>
      <c r="F27" s="210">
        <f>G27*D27/E27</f>
        <v>2.1150000000000002E-2</v>
      </c>
      <c r="G27" s="215">
        <f>IF(ISNUMBER(SEARCH("|", L11)), MID(L11,FIND("|",L11,1)+1,LEN(L11)), L11)</f>
        <v>4.2300000000000004</v>
      </c>
      <c r="H27" s="215" t="str">
        <f>L7</f>
        <v>236+|4,74</v>
      </c>
      <c r="I27" s="211">
        <f>IF(H27&gt;G27,(G27-H5),(G27+H5))</f>
        <v>4.2</v>
      </c>
      <c r="J27" s="217">
        <f>(G27-I27)*D27</f>
        <v>3.0000000000000249E-2</v>
      </c>
      <c r="K27" s="221" t="e">
        <f>(H27-G27)*D27</f>
        <v>#VALUE!</v>
      </c>
      <c r="L27" s="113"/>
      <c r="M27" s="120">
        <f>IF(C2="P",Q27,S27)</f>
        <v>2.0200000000000014</v>
      </c>
      <c r="N27" s="15"/>
      <c r="O27" s="224" t="str">
        <f>IF(C2="P",IF(D2="STATIC",IF(D5&gt;D6,"","▲"),IF(D5&gt;D6,"▲","")),IF(D2="STATIC",IF(D6&gt;D5,"","▲"),IF(D6&gt;D5,"▲","")))</f>
        <v>▲</v>
      </c>
      <c r="P27" s="20"/>
      <c r="Q27" s="142">
        <f>E17</f>
        <v>5.36</v>
      </c>
      <c r="R27" s="143"/>
      <c r="S27" s="144">
        <f>E14</f>
        <v>2.0200000000000014</v>
      </c>
    </row>
    <row r="28" spans="1:19" ht="15.75" x14ac:dyDescent="0.25">
      <c r="B28" s="80"/>
      <c r="C28" s="146"/>
      <c r="D28" s="147"/>
      <c r="E28" s="222">
        <f>IF(ISNUMBER(SEARCH("|", M24)), MID(M24,FIND("|",M24,1)+1,LEN(M24)), M24)</f>
        <v>2.62</v>
      </c>
      <c r="F28" s="40"/>
      <c r="G28" s="73"/>
      <c r="H28" s="73"/>
      <c r="I28" s="73"/>
      <c r="J28" s="41"/>
      <c r="K28" s="41"/>
      <c r="P28" s="20"/>
    </row>
    <row r="29" spans="1:19" x14ac:dyDescent="0.25">
      <c r="K29" s="20"/>
      <c r="P29" s="20"/>
      <c r="Q29" s="20"/>
      <c r="R29" s="20"/>
    </row>
    <row r="30" spans="1:19" x14ac:dyDescent="0.25">
      <c r="C30" s="85"/>
      <c r="D30" s="85"/>
      <c r="E30" s="85"/>
      <c r="F30" s="85"/>
      <c r="G30" s="85"/>
      <c r="H30" s="85"/>
    </row>
    <row r="31" spans="1:19" x14ac:dyDescent="0.25">
      <c r="B31" s="25"/>
      <c r="C31" s="85"/>
      <c r="D31" s="85"/>
      <c r="E31" s="85"/>
      <c r="F31" s="85"/>
      <c r="G31" s="85"/>
      <c r="H31" s="85"/>
    </row>
    <row r="32" spans="1:19" x14ac:dyDescent="0.25">
      <c r="B32" s="25"/>
      <c r="C32" s="85"/>
      <c r="D32" s="85"/>
      <c r="E32" s="85"/>
      <c r="F32" s="85"/>
      <c r="G32" s="85"/>
      <c r="H32" s="85"/>
    </row>
    <row r="33" spans="2:9" x14ac:dyDescent="0.25">
      <c r="B33" s="25"/>
      <c r="C33" s="85"/>
      <c r="D33" s="85"/>
      <c r="E33" s="85"/>
      <c r="F33" s="85"/>
      <c r="G33" s="85"/>
      <c r="H33" s="85"/>
    </row>
    <row r="34" spans="2:9" x14ac:dyDescent="0.25">
      <c r="B34" s="25"/>
      <c r="C34" s="85"/>
      <c r="D34" s="85"/>
      <c r="E34" s="85"/>
      <c r="F34" s="85"/>
      <c r="G34" s="85"/>
      <c r="H34" s="85"/>
    </row>
    <row r="35" spans="2:9" x14ac:dyDescent="0.25">
      <c r="C35" s="85"/>
      <c r="D35" s="85"/>
      <c r="E35" s="85"/>
      <c r="F35" s="85"/>
      <c r="G35" s="85"/>
      <c r="H35" s="85"/>
      <c r="I35" s="85"/>
    </row>
    <row r="36" spans="2:9" x14ac:dyDescent="0.25">
      <c r="C36" s="85"/>
      <c r="D36" s="85"/>
      <c r="E36" s="85"/>
      <c r="F36" s="85"/>
      <c r="G36" s="85"/>
      <c r="H36" s="85"/>
      <c r="I36" s="85"/>
    </row>
    <row r="37" spans="2:9" x14ac:dyDescent="0.25">
      <c r="C37" s="85"/>
      <c r="D37" s="85"/>
      <c r="E37" s="85"/>
      <c r="F37" s="85"/>
      <c r="G37" s="85"/>
      <c r="H37" s="85"/>
      <c r="I37" s="85"/>
    </row>
  </sheetData>
  <sheetProtection sheet="1" objects="1" scenarios="1" selectLockedCells="1"/>
  <mergeCells count="6">
    <mergeCell ref="B24:B27"/>
    <mergeCell ref="Q2:S2"/>
    <mergeCell ref="L2:M2"/>
    <mergeCell ref="G4:H4"/>
    <mergeCell ref="B5:B10"/>
    <mergeCell ref="B14:B20"/>
  </mergeCells>
  <conditionalFormatting sqref="C5">
    <cfRule type="expression" dxfId="4" priority="3">
      <formula>$C$3="P"</formula>
    </cfRule>
    <cfRule type="expression" dxfId="3" priority="4">
      <formula>$C$2="L"</formula>
    </cfRule>
  </conditionalFormatting>
  <conditionalFormatting sqref="C6">
    <cfRule type="expression" dxfId="2" priority="1">
      <formula>$C$2="P"</formula>
    </cfRule>
    <cfRule type="expression" dxfId="1" priority="2">
      <formula>$C$2="L"</formula>
    </cfRule>
  </conditionalFormatting>
  <dataValidations count="5">
    <dataValidation type="list" allowBlank="1" showInputMessage="1" showErrorMessage="1" sqref="G2">
      <formula1>"1H,4H,1D,1W,1M"</formula1>
    </dataValidation>
    <dataValidation type="list" allowBlank="1" showInputMessage="1" showErrorMessage="1" sqref="E2">
      <formula1>"0+,BRK,GAP,AOP,COR,382+,COAOP,618PS,"</formula1>
    </dataValidation>
    <dataValidation type="list" allowBlank="1" showInputMessage="1" showErrorMessage="1" sqref="H2">
      <formula1>"1,2,3,4,5,6,7,8,9,10"</formula1>
    </dataValidation>
    <dataValidation type="list" allowBlank="1" showInputMessage="1" showErrorMessage="1" sqref="I2">
      <formula1>"BID,ASK"</formula1>
    </dataValidation>
    <dataValidation type="list" allowBlank="1" showInputMessage="1" showErrorMessage="1" sqref="C2">
      <formula1>"L,P"</formula1>
    </dataValidation>
  </dataValidations>
  <pageMargins left="0.7" right="0.7" top="0.75" bottom="0.75" header="0.3" footer="0.3"/>
  <pageSetup paperSize="9" orientation="portrait" r:id="rId1"/>
  <ignoredErrors>
    <ignoredError sqref="F25:F26 C27 K27" evalError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EAB6447A-02B3-4639-B507-DB772A97136A}">
            <xm:f>NOT(ISERROR(SEARCH("-",C24)))</xm:f>
            <xm:f>"-"</xm:f>
            <x14:dxf>
              <font>
                <color rgb="FF9C0006"/>
              </font>
            </x14:dxf>
          </x14:cfRule>
          <xm:sqref>C24:C27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B2:AA255"/>
  <sheetViews>
    <sheetView zoomScaleNormal="100" workbookViewId="0">
      <selection activeCell="L18" sqref="L18"/>
    </sheetView>
  </sheetViews>
  <sheetFormatPr baseColWidth="10" defaultRowHeight="12" x14ac:dyDescent="0.2"/>
  <cols>
    <col min="1" max="2" width="11.42578125" style="67"/>
    <col min="3" max="3" width="11.42578125" style="148"/>
    <col min="4" max="13" width="11.42578125" style="67"/>
    <col min="14" max="14" width="13" style="67" customWidth="1"/>
    <col min="15" max="15" width="4.28515625" style="67" customWidth="1"/>
    <col min="16" max="16384" width="11.42578125" style="67"/>
  </cols>
  <sheetData>
    <row r="2" spans="2:14" x14ac:dyDescent="0.2">
      <c r="C2" s="150" t="s">
        <v>107</v>
      </c>
      <c r="D2" s="151"/>
      <c r="E2" s="152"/>
      <c r="F2" s="152"/>
      <c r="G2" s="152"/>
      <c r="H2" s="152"/>
      <c r="I2" s="152"/>
      <c r="J2" s="152"/>
      <c r="K2" s="152"/>
      <c r="L2" s="152"/>
      <c r="M2" s="152"/>
      <c r="N2" s="153"/>
    </row>
    <row r="3" spans="2:14" x14ac:dyDescent="0.2">
      <c r="C3" s="154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6"/>
    </row>
    <row r="4" spans="2:14" x14ac:dyDescent="0.2">
      <c r="C4" s="169" t="s">
        <v>23</v>
      </c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1"/>
    </row>
    <row r="5" spans="2:14" x14ac:dyDescent="0.2">
      <c r="B5" s="39"/>
      <c r="C5" s="169" t="s">
        <v>132</v>
      </c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1"/>
    </row>
    <row r="6" spans="2:14" x14ac:dyDescent="0.2">
      <c r="C6" s="169" t="s">
        <v>24</v>
      </c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1"/>
    </row>
    <row r="7" spans="2:14" x14ac:dyDescent="0.2">
      <c r="C7" s="154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6"/>
    </row>
    <row r="8" spans="2:14" x14ac:dyDescent="0.2">
      <c r="C8" s="154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6"/>
    </row>
    <row r="9" spans="2:14" x14ac:dyDescent="0.2">
      <c r="C9" s="154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6"/>
    </row>
    <row r="10" spans="2:14" x14ac:dyDescent="0.2">
      <c r="C10" s="154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6"/>
    </row>
    <row r="11" spans="2:14" x14ac:dyDescent="0.2">
      <c r="C11" s="154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6"/>
    </row>
    <row r="12" spans="2:14" ht="12.75" x14ac:dyDescent="0.2">
      <c r="C12" s="154"/>
      <c r="D12" s="163" t="s">
        <v>34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6"/>
    </row>
    <row r="13" spans="2:14" ht="15" x14ac:dyDescent="0.2">
      <c r="C13" s="154"/>
      <c r="E13" s="155"/>
      <c r="F13" s="168" t="s">
        <v>108</v>
      </c>
      <c r="G13" s="155"/>
      <c r="H13" s="158" t="s">
        <v>109</v>
      </c>
      <c r="I13" s="155"/>
      <c r="J13" s="155"/>
      <c r="K13" s="155"/>
      <c r="L13" s="155"/>
      <c r="M13" s="155"/>
      <c r="N13" s="156"/>
    </row>
    <row r="14" spans="2:14" ht="15" x14ac:dyDescent="0.2">
      <c r="C14" s="159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6"/>
    </row>
    <row r="15" spans="2:14" ht="12.75" x14ac:dyDescent="0.2">
      <c r="C15" s="157" t="s">
        <v>35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6"/>
    </row>
    <row r="16" spans="2:14" ht="15" x14ac:dyDescent="0.2">
      <c r="C16" s="159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6"/>
    </row>
    <row r="17" spans="3:14" ht="12.75" x14ac:dyDescent="0.2">
      <c r="C17" s="160" t="s">
        <v>36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6"/>
    </row>
    <row r="18" spans="3:14" ht="12.75" x14ac:dyDescent="0.2">
      <c r="C18" s="160" t="s">
        <v>37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6"/>
    </row>
    <row r="19" spans="3:14" ht="12.75" x14ac:dyDescent="0.2">
      <c r="C19" s="160" t="s">
        <v>38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6"/>
    </row>
    <row r="20" spans="3:14" ht="12.75" x14ac:dyDescent="0.2">
      <c r="C20" s="160" t="s">
        <v>39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6"/>
    </row>
    <row r="21" spans="3:14" ht="12.75" x14ac:dyDescent="0.2">
      <c r="C21" s="160" t="s">
        <v>40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6"/>
    </row>
    <row r="22" spans="3:14" ht="15" x14ac:dyDescent="0.2">
      <c r="C22" s="159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6"/>
    </row>
    <row r="23" spans="3:14" ht="15" x14ac:dyDescent="0.2">
      <c r="C23" s="159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6"/>
    </row>
    <row r="24" spans="3:14" ht="12.75" x14ac:dyDescent="0.2">
      <c r="C24" s="157" t="s">
        <v>113</v>
      </c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2"/>
    </row>
    <row r="25" spans="3:14" ht="15" x14ac:dyDescent="0.2">
      <c r="C25" s="159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2"/>
    </row>
    <row r="26" spans="3:14" ht="15" x14ac:dyDescent="0.2">
      <c r="C26" s="159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2"/>
    </row>
    <row r="27" spans="3:14" ht="12.75" x14ac:dyDescent="0.2">
      <c r="C27" s="157" t="s">
        <v>142</v>
      </c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2"/>
    </row>
    <row r="28" spans="3:14" ht="12.75" x14ac:dyDescent="0.2">
      <c r="C28" s="157" t="s">
        <v>145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2"/>
    </row>
    <row r="29" spans="3:14" ht="12.75" x14ac:dyDescent="0.2">
      <c r="C29" s="157" t="s">
        <v>144</v>
      </c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2"/>
    </row>
    <row r="30" spans="3:14" ht="15" x14ac:dyDescent="0.2">
      <c r="C30" s="159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2"/>
    </row>
    <row r="31" spans="3:14" ht="12.75" x14ac:dyDescent="0.2">
      <c r="C31" s="157" t="s">
        <v>121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2"/>
    </row>
    <row r="32" spans="3:14" ht="12.75" x14ac:dyDescent="0.2">
      <c r="C32" s="157" t="s">
        <v>80</v>
      </c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2"/>
    </row>
    <row r="33" spans="3:14" ht="12.75" x14ac:dyDescent="0.2">
      <c r="C33" s="157" t="s">
        <v>41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2"/>
    </row>
    <row r="34" spans="3:14" ht="15" x14ac:dyDescent="0.2">
      <c r="C34" s="159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2"/>
    </row>
    <row r="35" spans="3:14" ht="12.75" x14ac:dyDescent="0.2">
      <c r="C35" s="157" t="s">
        <v>42</v>
      </c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2"/>
    </row>
    <row r="36" spans="3:14" ht="12.75" x14ac:dyDescent="0.2">
      <c r="C36" s="157" t="s">
        <v>43</v>
      </c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2"/>
    </row>
    <row r="37" spans="3:14" ht="12.75" x14ac:dyDescent="0.2">
      <c r="C37" s="157" t="s">
        <v>44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2"/>
    </row>
    <row r="38" spans="3:14" ht="12.75" x14ac:dyDescent="0.2">
      <c r="C38" s="157" t="s">
        <v>45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2"/>
    </row>
    <row r="39" spans="3:14" ht="12.75" x14ac:dyDescent="0.2">
      <c r="C39" s="157" t="s">
        <v>46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2"/>
    </row>
    <row r="40" spans="3:14" ht="15" x14ac:dyDescent="0.2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2"/>
    </row>
    <row r="41" spans="3:14" ht="12.75" x14ac:dyDescent="0.2">
      <c r="C41" s="157" t="s">
        <v>47</v>
      </c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2"/>
    </row>
    <row r="42" spans="3:14" ht="12.75" x14ac:dyDescent="0.2">
      <c r="C42" s="157" t="s">
        <v>48</v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2"/>
    </row>
    <row r="43" spans="3:14" ht="12.75" x14ac:dyDescent="0.2">
      <c r="C43" s="157" t="s">
        <v>49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2"/>
    </row>
    <row r="44" spans="3:14" ht="12.75" x14ac:dyDescent="0.2">
      <c r="C44" s="157" t="s">
        <v>50</v>
      </c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2"/>
    </row>
    <row r="45" spans="3:14" ht="15" x14ac:dyDescent="0.2">
      <c r="C45" s="159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2"/>
    </row>
    <row r="46" spans="3:14" ht="12.75" x14ac:dyDescent="0.2">
      <c r="C46" s="157" t="s">
        <v>81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2"/>
    </row>
    <row r="47" spans="3:14" ht="12.75" x14ac:dyDescent="0.2">
      <c r="C47" s="157" t="s">
        <v>51</v>
      </c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2"/>
    </row>
    <row r="48" spans="3:14" ht="12.75" x14ac:dyDescent="0.2">
      <c r="C48" s="157" t="s">
        <v>52</v>
      </c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2"/>
    </row>
    <row r="49" spans="3:27" ht="12.75" x14ac:dyDescent="0.2">
      <c r="C49" s="157" t="s">
        <v>53</v>
      </c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2"/>
    </row>
    <row r="50" spans="3:27" ht="12.75" x14ac:dyDescent="0.2">
      <c r="C50" s="157" t="s">
        <v>54</v>
      </c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2"/>
    </row>
    <row r="51" spans="3:27" ht="12.75" x14ac:dyDescent="0.2">
      <c r="C51" s="157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2"/>
    </row>
    <row r="52" spans="3:27" ht="12.75" x14ac:dyDescent="0.2">
      <c r="C52" s="157" t="s">
        <v>110</v>
      </c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2"/>
    </row>
    <row r="53" spans="3:27" ht="12.75" x14ac:dyDescent="0.2">
      <c r="C53" s="157" t="s">
        <v>129</v>
      </c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2"/>
    </row>
    <row r="54" spans="3:27" ht="12.75" x14ac:dyDescent="0.2">
      <c r="C54" s="157" t="s">
        <v>111</v>
      </c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2"/>
    </row>
    <row r="55" spans="3:27" ht="12.75" x14ac:dyDescent="0.2">
      <c r="C55" s="157" t="s">
        <v>92</v>
      </c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2"/>
    </row>
    <row r="56" spans="3:27" ht="12.75" x14ac:dyDescent="0.2">
      <c r="C56" s="157" t="s">
        <v>112</v>
      </c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2"/>
    </row>
    <row r="57" spans="3:27" ht="12.75" x14ac:dyDescent="0.2">
      <c r="C57" s="157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2"/>
    </row>
    <row r="58" spans="3:27" x14ac:dyDescent="0.2">
      <c r="C58" s="154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6"/>
    </row>
    <row r="59" spans="3:27" x14ac:dyDescent="0.2">
      <c r="C59" s="154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6"/>
    </row>
    <row r="60" spans="3:27" ht="12.75" x14ac:dyDescent="0.2">
      <c r="C60" s="154"/>
      <c r="D60" s="163" t="s">
        <v>64</v>
      </c>
      <c r="E60" s="161"/>
      <c r="F60" s="161"/>
      <c r="G60" s="161"/>
      <c r="H60" s="161"/>
      <c r="I60" s="161"/>
      <c r="J60" s="161"/>
      <c r="K60" s="161"/>
      <c r="L60" s="161"/>
      <c r="M60" s="161"/>
      <c r="N60" s="162"/>
    </row>
    <row r="61" spans="3:27" ht="15" x14ac:dyDescent="0.2">
      <c r="C61" s="154"/>
      <c r="D61" s="164"/>
      <c r="E61" s="161"/>
      <c r="F61" s="161"/>
      <c r="G61" s="161"/>
      <c r="H61" s="161"/>
      <c r="I61" s="161"/>
      <c r="J61" s="161"/>
      <c r="K61" s="161"/>
      <c r="L61" s="161"/>
      <c r="M61" s="161"/>
      <c r="N61" s="162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</row>
    <row r="62" spans="3:27" ht="12.75" x14ac:dyDescent="0.2">
      <c r="C62" s="154"/>
      <c r="D62" s="163" t="s">
        <v>66</v>
      </c>
      <c r="E62" s="161"/>
      <c r="F62" s="161"/>
      <c r="G62" s="155"/>
      <c r="H62" s="161"/>
      <c r="I62" s="161"/>
      <c r="J62" s="161"/>
      <c r="K62" s="161"/>
      <c r="L62" s="161"/>
      <c r="M62" s="161"/>
      <c r="N62" s="162"/>
    </row>
    <row r="63" spans="3:27" ht="12.75" x14ac:dyDescent="0.2">
      <c r="C63" s="154"/>
      <c r="D63" s="163" t="s">
        <v>65</v>
      </c>
      <c r="E63" s="161"/>
      <c r="F63" s="161"/>
      <c r="G63" s="161"/>
      <c r="H63" s="161"/>
      <c r="I63" s="161"/>
      <c r="J63" s="161"/>
      <c r="K63" s="161"/>
      <c r="L63" s="161"/>
      <c r="M63" s="161"/>
      <c r="N63" s="162"/>
    </row>
    <row r="64" spans="3:27" ht="12.75" x14ac:dyDescent="0.2">
      <c r="C64" s="154"/>
      <c r="D64" s="163" t="s">
        <v>67</v>
      </c>
      <c r="E64" s="161"/>
      <c r="F64" s="161"/>
      <c r="G64" s="161"/>
      <c r="H64" s="161"/>
      <c r="I64" s="161"/>
      <c r="J64" s="161"/>
      <c r="K64" s="161"/>
      <c r="L64" s="161"/>
      <c r="M64" s="161"/>
      <c r="N64" s="162"/>
    </row>
    <row r="65" spans="3:14" ht="12.75" x14ac:dyDescent="0.2">
      <c r="C65" s="154"/>
      <c r="D65" s="163" t="s">
        <v>93</v>
      </c>
      <c r="E65" s="161"/>
      <c r="F65" s="161"/>
      <c r="G65" s="161"/>
      <c r="H65" s="161"/>
      <c r="I65" s="161"/>
      <c r="J65" s="161"/>
      <c r="K65" s="161"/>
      <c r="L65" s="161"/>
      <c r="M65" s="161"/>
      <c r="N65" s="162"/>
    </row>
    <row r="66" spans="3:14" ht="12.75" x14ac:dyDescent="0.2">
      <c r="C66" s="154"/>
      <c r="D66" s="163" t="s">
        <v>94</v>
      </c>
      <c r="E66" s="161"/>
      <c r="F66" s="161"/>
      <c r="G66" s="161"/>
      <c r="H66" s="161"/>
      <c r="I66" s="161"/>
      <c r="J66" s="161"/>
      <c r="K66" s="161"/>
      <c r="L66" s="161"/>
      <c r="M66" s="161"/>
      <c r="N66" s="162"/>
    </row>
    <row r="67" spans="3:14" ht="12.75" x14ac:dyDescent="0.2">
      <c r="C67" s="154"/>
      <c r="D67" s="163" t="s">
        <v>82</v>
      </c>
      <c r="E67" s="161"/>
      <c r="F67" s="161"/>
      <c r="G67" s="161"/>
      <c r="H67" s="161"/>
      <c r="I67" s="161"/>
      <c r="J67" s="161"/>
      <c r="K67" s="161"/>
      <c r="L67" s="161"/>
      <c r="M67" s="161"/>
      <c r="N67" s="162"/>
    </row>
    <row r="68" spans="3:14" ht="12.75" x14ac:dyDescent="0.2">
      <c r="C68" s="154"/>
      <c r="D68" s="163"/>
      <c r="E68" s="161"/>
      <c r="F68" s="161"/>
      <c r="G68" s="155"/>
      <c r="H68" s="155"/>
      <c r="I68" s="155"/>
      <c r="J68" s="155"/>
      <c r="K68" s="155"/>
      <c r="L68" s="155"/>
      <c r="M68" s="155"/>
      <c r="N68" s="156"/>
    </row>
    <row r="69" spans="3:14" x14ac:dyDescent="0.2">
      <c r="C69" s="154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6"/>
    </row>
    <row r="70" spans="3:14" ht="12.75" x14ac:dyDescent="0.2">
      <c r="C70" s="157" t="s">
        <v>114</v>
      </c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2"/>
    </row>
    <row r="71" spans="3:14" ht="15" x14ac:dyDescent="0.2">
      <c r="C71" s="159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2"/>
    </row>
    <row r="72" spans="3:14" ht="15" x14ac:dyDescent="0.2">
      <c r="C72" s="159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2"/>
    </row>
    <row r="73" spans="3:14" ht="12.75" x14ac:dyDescent="0.2">
      <c r="C73" s="157" t="s">
        <v>143</v>
      </c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2"/>
    </row>
    <row r="74" spans="3:14" ht="12.75" x14ac:dyDescent="0.2">
      <c r="C74" s="157" t="s">
        <v>55</v>
      </c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2"/>
    </row>
    <row r="75" spans="3:14" ht="15" x14ac:dyDescent="0.2">
      <c r="C75" s="159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2"/>
    </row>
    <row r="76" spans="3:14" ht="12.75" x14ac:dyDescent="0.2">
      <c r="C76" s="157" t="s">
        <v>116</v>
      </c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2"/>
    </row>
    <row r="77" spans="3:14" ht="15" x14ac:dyDescent="0.2">
      <c r="C77" s="159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2"/>
    </row>
    <row r="78" spans="3:14" ht="12.75" x14ac:dyDescent="0.2">
      <c r="C78" s="157" t="s">
        <v>117</v>
      </c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2"/>
    </row>
    <row r="79" spans="3:14" ht="15" x14ac:dyDescent="0.2">
      <c r="C79" s="159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2"/>
    </row>
    <row r="80" spans="3:14" ht="12.75" x14ac:dyDescent="0.2">
      <c r="C80" s="157" t="s">
        <v>56</v>
      </c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2"/>
    </row>
    <row r="81" spans="3:14" ht="15" x14ac:dyDescent="0.2">
      <c r="C81" s="159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2"/>
    </row>
    <row r="82" spans="3:14" ht="15" x14ac:dyDescent="0.2">
      <c r="C82" s="159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2"/>
    </row>
    <row r="83" spans="3:14" ht="12.75" x14ac:dyDescent="0.2">
      <c r="C83" s="157" t="s">
        <v>115</v>
      </c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2"/>
    </row>
    <row r="84" spans="3:14" ht="15" x14ac:dyDescent="0.2">
      <c r="C84" s="159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2"/>
    </row>
    <row r="85" spans="3:14" ht="15" x14ac:dyDescent="0.2">
      <c r="C85" s="159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2"/>
    </row>
    <row r="86" spans="3:14" ht="12.75" x14ac:dyDescent="0.2">
      <c r="C86" s="157" t="s">
        <v>83</v>
      </c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2"/>
    </row>
    <row r="87" spans="3:14" ht="12.75" x14ac:dyDescent="0.2">
      <c r="C87" s="157" t="s">
        <v>57</v>
      </c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2"/>
    </row>
    <row r="88" spans="3:14" ht="15" x14ac:dyDescent="0.2">
      <c r="C88" s="159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2"/>
    </row>
    <row r="89" spans="3:14" ht="12.75" x14ac:dyDescent="0.2">
      <c r="C89" s="157" t="s">
        <v>136</v>
      </c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2"/>
    </row>
    <row r="90" spans="3:14" ht="12.75" x14ac:dyDescent="0.2">
      <c r="C90" s="157" t="s">
        <v>133</v>
      </c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2"/>
    </row>
    <row r="91" spans="3:14" ht="12.75" x14ac:dyDescent="0.2">
      <c r="C91" s="157" t="s">
        <v>134</v>
      </c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2"/>
    </row>
    <row r="92" spans="3:14" ht="12.75" x14ac:dyDescent="0.2">
      <c r="C92" s="157" t="s">
        <v>135</v>
      </c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2"/>
    </row>
    <row r="93" spans="3:14" ht="15" x14ac:dyDescent="0.2">
      <c r="C93" s="159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2"/>
    </row>
    <row r="94" spans="3:14" ht="12.75" x14ac:dyDescent="0.2">
      <c r="C94" s="157" t="s">
        <v>58</v>
      </c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2"/>
    </row>
    <row r="95" spans="3:14" ht="12.75" x14ac:dyDescent="0.2">
      <c r="C95" s="157" t="s">
        <v>59</v>
      </c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2"/>
    </row>
    <row r="96" spans="3:14" ht="15" x14ac:dyDescent="0.2">
      <c r="C96" s="159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2"/>
    </row>
    <row r="97" spans="3:14" ht="12.75" x14ac:dyDescent="0.2">
      <c r="C97" s="157" t="s">
        <v>147</v>
      </c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2"/>
    </row>
    <row r="98" spans="3:14" ht="12.75" x14ac:dyDescent="0.2">
      <c r="C98" s="157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2"/>
    </row>
    <row r="99" spans="3:14" ht="15" x14ac:dyDescent="0.2">
      <c r="C99" s="159" t="s">
        <v>148</v>
      </c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2"/>
    </row>
    <row r="100" spans="3:14" ht="12.75" x14ac:dyDescent="0.2">
      <c r="C100" s="157" t="s">
        <v>95</v>
      </c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2"/>
    </row>
    <row r="101" spans="3:14" ht="12.75" x14ac:dyDescent="0.2">
      <c r="C101" s="157" t="s">
        <v>122</v>
      </c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2"/>
    </row>
    <row r="102" spans="3:14" ht="12.75" x14ac:dyDescent="0.2">
      <c r="C102" s="157" t="s">
        <v>140</v>
      </c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2"/>
    </row>
    <row r="103" spans="3:14" ht="12.75" x14ac:dyDescent="0.2">
      <c r="C103" s="157" t="s">
        <v>137</v>
      </c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2"/>
    </row>
    <row r="104" spans="3:14" x14ac:dyDescent="0.2">
      <c r="C104" s="154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6"/>
    </row>
    <row r="105" spans="3:14" ht="12.75" x14ac:dyDescent="0.2">
      <c r="C105" s="157" t="s">
        <v>60</v>
      </c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2"/>
    </row>
    <row r="106" spans="3:14" ht="12.75" x14ac:dyDescent="0.2">
      <c r="C106" s="157" t="s">
        <v>61</v>
      </c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2"/>
    </row>
    <row r="107" spans="3:14" ht="12.75" x14ac:dyDescent="0.2">
      <c r="C107" s="157" t="s">
        <v>62</v>
      </c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2"/>
    </row>
    <row r="108" spans="3:14" ht="12.75" x14ac:dyDescent="0.2">
      <c r="C108" s="157" t="s">
        <v>63</v>
      </c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2"/>
    </row>
    <row r="109" spans="3:14" ht="15" x14ac:dyDescent="0.2">
      <c r="C109" s="159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2"/>
    </row>
    <row r="110" spans="3:14" ht="12.75" x14ac:dyDescent="0.2">
      <c r="C110" s="157" t="s">
        <v>90</v>
      </c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2"/>
    </row>
    <row r="111" spans="3:14" ht="15" x14ac:dyDescent="0.2">
      <c r="C111" s="159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2"/>
    </row>
    <row r="112" spans="3:14" ht="12.75" x14ac:dyDescent="0.2">
      <c r="C112" s="157" t="s">
        <v>138</v>
      </c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2"/>
    </row>
    <row r="113" spans="3:14" ht="12.75" x14ac:dyDescent="0.2">
      <c r="C113" s="157" t="s">
        <v>118</v>
      </c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2"/>
    </row>
    <row r="114" spans="3:14" ht="12.75" x14ac:dyDescent="0.2">
      <c r="C114" s="157" t="s">
        <v>119</v>
      </c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2"/>
    </row>
    <row r="115" spans="3:14" x14ac:dyDescent="0.2">
      <c r="C115" s="154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6"/>
    </row>
    <row r="116" spans="3:14" x14ac:dyDescent="0.2">
      <c r="C116" s="154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6"/>
    </row>
    <row r="117" spans="3:14" ht="12.75" x14ac:dyDescent="0.2">
      <c r="C117" s="157" t="s">
        <v>139</v>
      </c>
      <c r="D117" s="161"/>
      <c r="E117" s="161"/>
      <c r="F117" s="161"/>
      <c r="G117" s="161"/>
      <c r="H117" s="161"/>
      <c r="I117" s="161"/>
      <c r="J117" s="161"/>
      <c r="K117" s="155"/>
      <c r="L117" s="155"/>
      <c r="M117" s="155"/>
      <c r="N117" s="156"/>
    </row>
    <row r="118" spans="3:14" ht="12.75" x14ac:dyDescent="0.2">
      <c r="C118" s="157" t="s">
        <v>146</v>
      </c>
      <c r="D118" s="161"/>
      <c r="E118" s="161"/>
      <c r="F118" s="161"/>
      <c r="G118" s="161"/>
      <c r="H118" s="161"/>
      <c r="I118" s="161"/>
      <c r="J118" s="161"/>
      <c r="K118" s="155"/>
      <c r="L118" s="155"/>
      <c r="M118" s="155"/>
      <c r="N118" s="156"/>
    </row>
    <row r="119" spans="3:14" x14ac:dyDescent="0.2">
      <c r="C119" s="154"/>
      <c r="D119" s="155"/>
      <c r="E119" s="155"/>
      <c r="F119" s="155"/>
      <c r="G119" s="155"/>
      <c r="H119" s="155"/>
      <c r="I119" s="155"/>
      <c r="J119" s="155"/>
      <c r="K119" s="161"/>
      <c r="L119" s="161"/>
      <c r="M119" s="161"/>
      <c r="N119" s="162"/>
    </row>
    <row r="120" spans="3:14" x14ac:dyDescent="0.2">
      <c r="C120" s="154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6"/>
    </row>
    <row r="121" spans="3:14" x14ac:dyDescent="0.2">
      <c r="C121" s="154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6"/>
    </row>
    <row r="122" spans="3:14" ht="12.75" x14ac:dyDescent="0.2">
      <c r="C122" s="198" t="s">
        <v>120</v>
      </c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200"/>
    </row>
    <row r="123" spans="3:14" ht="12.75" x14ac:dyDescent="0.2">
      <c r="C123" s="198" t="s">
        <v>91</v>
      </c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2"/>
    </row>
    <row r="124" spans="3:14" ht="12.75" x14ac:dyDescent="0.2">
      <c r="C124" s="198" t="s">
        <v>97</v>
      </c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2"/>
    </row>
    <row r="125" spans="3:14" ht="12.75" x14ac:dyDescent="0.2">
      <c r="C125" s="198" t="s">
        <v>154</v>
      </c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2"/>
    </row>
    <row r="126" spans="3:14" ht="12.75" x14ac:dyDescent="0.2">
      <c r="C126" s="198" t="s">
        <v>155</v>
      </c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2"/>
    </row>
    <row r="127" spans="3:14" ht="12.75" x14ac:dyDescent="0.2">
      <c r="C127" s="198" t="s">
        <v>100</v>
      </c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2"/>
    </row>
    <row r="128" spans="3:14" ht="12.75" x14ac:dyDescent="0.2">
      <c r="C128" s="198" t="s">
        <v>101</v>
      </c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02"/>
    </row>
    <row r="129" spans="3:14" ht="12.75" x14ac:dyDescent="0.2">
      <c r="C129" s="157" t="s">
        <v>156</v>
      </c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2"/>
    </row>
    <row r="130" spans="3:14" x14ac:dyDescent="0.2">
      <c r="C130" s="154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6"/>
    </row>
    <row r="131" spans="3:14" ht="12.75" x14ac:dyDescent="0.2">
      <c r="C131" s="157" t="s">
        <v>69</v>
      </c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2"/>
    </row>
    <row r="132" spans="3:14" ht="12.75" x14ac:dyDescent="0.2">
      <c r="C132" s="157" t="s">
        <v>86</v>
      </c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2"/>
    </row>
    <row r="133" spans="3:14" ht="12.75" x14ac:dyDescent="0.2">
      <c r="C133" s="157" t="s">
        <v>128</v>
      </c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2"/>
    </row>
    <row r="134" spans="3:14" ht="12.75" x14ac:dyDescent="0.2">
      <c r="C134" s="157" t="s">
        <v>70</v>
      </c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2"/>
    </row>
    <row r="135" spans="3:14" ht="12.75" x14ac:dyDescent="0.2">
      <c r="C135" s="157" t="s">
        <v>123</v>
      </c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2"/>
    </row>
    <row r="136" spans="3:14" ht="12.75" x14ac:dyDescent="0.2">
      <c r="C136" s="157" t="s">
        <v>102</v>
      </c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2"/>
    </row>
    <row r="137" spans="3:14" x14ac:dyDescent="0.2">
      <c r="C137" s="154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6"/>
    </row>
    <row r="138" spans="3:14" x14ac:dyDescent="0.2">
      <c r="C138" s="154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6"/>
    </row>
    <row r="139" spans="3:14" ht="12.75" x14ac:dyDescent="0.2">
      <c r="C139" s="157" t="s">
        <v>71</v>
      </c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2"/>
    </row>
    <row r="140" spans="3:14" ht="12.75" x14ac:dyDescent="0.2">
      <c r="C140" s="157" t="s">
        <v>72</v>
      </c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2"/>
    </row>
    <row r="141" spans="3:14" ht="12.75" x14ac:dyDescent="0.2">
      <c r="C141" s="157" t="s">
        <v>103</v>
      </c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2"/>
    </row>
    <row r="142" spans="3:14" ht="12.75" x14ac:dyDescent="0.2">
      <c r="C142" s="157" t="s">
        <v>104</v>
      </c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2"/>
    </row>
    <row r="143" spans="3:14" ht="12.75" x14ac:dyDescent="0.2">
      <c r="C143" s="157" t="s">
        <v>105</v>
      </c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2"/>
    </row>
    <row r="144" spans="3:14" ht="12.75" x14ac:dyDescent="0.2">
      <c r="C144" s="157" t="s">
        <v>73</v>
      </c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2"/>
    </row>
    <row r="145" spans="3:24" x14ac:dyDescent="0.2">
      <c r="C145" s="154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6"/>
    </row>
    <row r="146" spans="3:24" x14ac:dyDescent="0.2">
      <c r="C146" s="154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6"/>
    </row>
    <row r="147" spans="3:24" ht="12.75" x14ac:dyDescent="0.2">
      <c r="C147" s="157" t="s">
        <v>74</v>
      </c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2"/>
    </row>
    <row r="148" spans="3:24" ht="12.75" x14ac:dyDescent="0.2">
      <c r="C148" s="157" t="s">
        <v>158</v>
      </c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2"/>
    </row>
    <row r="149" spans="3:24" ht="12.75" x14ac:dyDescent="0.2">
      <c r="C149" s="157" t="s">
        <v>157</v>
      </c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2"/>
    </row>
    <row r="150" spans="3:24" ht="12.75" x14ac:dyDescent="0.2">
      <c r="C150" s="157" t="s">
        <v>74</v>
      </c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2"/>
    </row>
    <row r="151" spans="3:24" ht="15" x14ac:dyDescent="0.2">
      <c r="C151" s="159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2"/>
    </row>
    <row r="152" spans="3:24" ht="12.75" x14ac:dyDescent="0.2">
      <c r="C152" s="157" t="s">
        <v>124</v>
      </c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2"/>
    </row>
    <row r="153" spans="3:24" ht="12.75" x14ac:dyDescent="0.2">
      <c r="C153" s="157" t="s">
        <v>76</v>
      </c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2"/>
    </row>
    <row r="154" spans="3:24" ht="12.75" x14ac:dyDescent="0.2">
      <c r="C154" s="157" t="s">
        <v>77</v>
      </c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2"/>
    </row>
    <row r="155" spans="3:24" ht="12.75" x14ac:dyDescent="0.2">
      <c r="C155" s="157" t="s">
        <v>78</v>
      </c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2"/>
    </row>
    <row r="156" spans="3:24" ht="12.75" x14ac:dyDescent="0.2">
      <c r="C156" s="157" t="s">
        <v>79</v>
      </c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2"/>
    </row>
    <row r="157" spans="3:24" ht="12.75" x14ac:dyDescent="0.2">
      <c r="C157" s="157" t="s">
        <v>106</v>
      </c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2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</row>
    <row r="158" spans="3:24" ht="15" x14ac:dyDescent="0.2">
      <c r="C158" s="159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2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</row>
    <row r="159" spans="3:24" x14ac:dyDescent="0.2">
      <c r="C159" s="154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6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</row>
    <row r="160" spans="3:24" ht="15" x14ac:dyDescent="0.2">
      <c r="C160" s="159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2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</row>
    <row r="161" spans="3:24" ht="12.75" x14ac:dyDescent="0.2">
      <c r="C161" s="157" t="s">
        <v>141</v>
      </c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2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</row>
    <row r="162" spans="3:24" ht="15" x14ac:dyDescent="0.2">
      <c r="C162" s="159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2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</row>
    <row r="163" spans="3:24" ht="12.75" x14ac:dyDescent="0.2">
      <c r="C163" s="157" t="s">
        <v>159</v>
      </c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2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</row>
    <row r="164" spans="3:24" ht="12.75" x14ac:dyDescent="0.2">
      <c r="C164" s="157" t="s">
        <v>160</v>
      </c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2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</row>
    <row r="165" spans="3:24" x14ac:dyDescent="0.2">
      <c r="C165" s="174"/>
      <c r="D165" s="170"/>
      <c r="E165" s="170"/>
      <c r="F165" s="170"/>
      <c r="G165" s="170"/>
      <c r="H165" s="170"/>
      <c r="I165" s="170"/>
      <c r="J165" s="170"/>
      <c r="K165" s="170"/>
      <c r="L165" s="170"/>
      <c r="M165" s="155"/>
      <c r="N165" s="156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</row>
    <row r="166" spans="3:24" x14ac:dyDescent="0.2">
      <c r="C166" s="154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6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</row>
    <row r="167" spans="3:24" ht="12.75" x14ac:dyDescent="0.2">
      <c r="C167" s="157" t="s">
        <v>88</v>
      </c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2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</row>
    <row r="168" spans="3:24" ht="12.75" x14ac:dyDescent="0.2">
      <c r="C168" s="157" t="s">
        <v>125</v>
      </c>
      <c r="D168" s="161"/>
      <c r="E168" s="161"/>
      <c r="F168" s="197"/>
      <c r="G168" s="197"/>
      <c r="H168" s="197"/>
      <c r="I168" s="196"/>
      <c r="J168" s="196"/>
      <c r="K168" s="196"/>
      <c r="L168" s="196"/>
      <c r="M168" s="161"/>
      <c r="N168" s="162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</row>
    <row r="169" spans="3:24" ht="12.75" x14ac:dyDescent="0.2">
      <c r="C169" s="157" t="s">
        <v>88</v>
      </c>
      <c r="D169" s="161"/>
      <c r="E169" s="161"/>
      <c r="F169" s="197"/>
      <c r="G169" s="197"/>
      <c r="H169" s="197"/>
      <c r="I169" s="196"/>
      <c r="J169" s="196"/>
      <c r="K169" s="196"/>
      <c r="L169" s="196"/>
      <c r="M169" s="161"/>
      <c r="N169" s="162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</row>
    <row r="170" spans="3:24" ht="12.75" x14ac:dyDescent="0.2">
      <c r="C170" s="157" t="s">
        <v>149</v>
      </c>
      <c r="D170" s="161"/>
      <c r="E170" s="161"/>
      <c r="F170" s="197"/>
      <c r="G170" s="197"/>
      <c r="H170" s="197"/>
      <c r="I170" s="196"/>
      <c r="J170" s="196"/>
      <c r="K170" s="196"/>
      <c r="L170" s="196"/>
      <c r="M170" s="161"/>
      <c r="N170" s="162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</row>
    <row r="171" spans="3:24" ht="12.75" x14ac:dyDescent="0.2">
      <c r="C171" s="157" t="s">
        <v>151</v>
      </c>
      <c r="D171" s="161"/>
      <c r="E171" s="161"/>
      <c r="F171" s="197"/>
      <c r="G171" s="197"/>
      <c r="H171" s="197"/>
      <c r="I171" s="196"/>
      <c r="J171" s="196"/>
      <c r="K171" s="196"/>
      <c r="L171" s="196"/>
      <c r="M171" s="161"/>
      <c r="N171" s="162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</row>
    <row r="172" spans="3:24" ht="12.75" x14ac:dyDescent="0.2">
      <c r="C172" s="157" t="s">
        <v>150</v>
      </c>
      <c r="D172" s="161"/>
      <c r="E172" s="161"/>
      <c r="F172" s="197"/>
      <c r="G172" s="197"/>
      <c r="H172" s="197"/>
      <c r="I172" s="196"/>
      <c r="J172" s="196"/>
      <c r="K172" s="196"/>
      <c r="L172" s="196"/>
      <c r="M172" s="161"/>
      <c r="N172" s="162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</row>
    <row r="173" spans="3:24" ht="12.75" x14ac:dyDescent="0.2">
      <c r="C173" s="157" t="s">
        <v>153</v>
      </c>
      <c r="D173" s="161"/>
      <c r="E173" s="161"/>
      <c r="F173" s="197"/>
      <c r="G173" s="197"/>
      <c r="H173" s="197"/>
      <c r="I173" s="196"/>
      <c r="J173" s="196"/>
      <c r="K173" s="196"/>
      <c r="L173" s="196"/>
      <c r="M173" s="161"/>
      <c r="N173" s="162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</row>
    <row r="174" spans="3:24" ht="12.75" x14ac:dyDescent="0.2">
      <c r="C174" s="157" t="s">
        <v>152</v>
      </c>
      <c r="D174" s="161"/>
      <c r="E174" s="161"/>
      <c r="F174" s="197"/>
      <c r="G174" s="197"/>
      <c r="H174" s="197"/>
      <c r="I174" s="196"/>
      <c r="J174" s="196"/>
      <c r="K174" s="196"/>
      <c r="L174" s="196"/>
      <c r="M174" s="161"/>
      <c r="N174" s="162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</row>
    <row r="175" spans="3:24" ht="12.75" x14ac:dyDescent="0.2">
      <c r="C175" s="157" t="s">
        <v>89</v>
      </c>
      <c r="D175" s="161"/>
      <c r="E175" s="161"/>
      <c r="F175" s="197"/>
      <c r="G175" s="197"/>
      <c r="H175" s="197"/>
      <c r="I175" s="196"/>
      <c r="J175" s="196"/>
      <c r="K175" s="196"/>
      <c r="L175" s="196"/>
      <c r="M175" s="161"/>
      <c r="N175" s="162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</row>
    <row r="176" spans="3:24" x14ac:dyDescent="0.2">
      <c r="C176" s="154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62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</row>
    <row r="177" spans="3:24" ht="15" x14ac:dyDescent="0.2">
      <c r="C177" s="159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2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</row>
    <row r="178" spans="3:24" ht="12.75" x14ac:dyDescent="0.2">
      <c r="C178" s="175" t="s">
        <v>126</v>
      </c>
      <c r="D178" s="173"/>
      <c r="E178" s="173"/>
      <c r="F178" s="173"/>
      <c r="G178" s="173"/>
      <c r="H178" s="173"/>
      <c r="I178" s="173"/>
      <c r="J178" s="173"/>
      <c r="K178" s="173"/>
      <c r="L178" s="173"/>
      <c r="M178" s="161"/>
      <c r="N178" s="162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</row>
    <row r="179" spans="3:24" ht="12.75" x14ac:dyDescent="0.2">
      <c r="C179" s="175"/>
      <c r="D179" s="173"/>
      <c r="E179" s="173"/>
      <c r="F179" s="173"/>
      <c r="G179" s="173"/>
      <c r="H179" s="173"/>
      <c r="I179" s="173"/>
      <c r="J179" s="173"/>
      <c r="K179" s="173"/>
      <c r="L179" s="173"/>
      <c r="M179" s="161"/>
      <c r="N179" s="162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</row>
    <row r="180" spans="3:24" ht="12.75" x14ac:dyDescent="0.2">
      <c r="C180" s="195">
        <f>IF(ISNUMBER(SEARCH("|", L7)), MID(L7,FIND("|",L7,1)+1,LEN(L7)), L7)</f>
        <v>0</v>
      </c>
      <c r="D180" s="173"/>
      <c r="E180" s="173"/>
      <c r="F180" s="173"/>
      <c r="G180" s="173"/>
      <c r="H180" s="173"/>
      <c r="I180" s="173"/>
      <c r="J180" s="173"/>
      <c r="K180" s="173"/>
      <c r="L180" s="173"/>
      <c r="M180" s="161"/>
      <c r="N180" s="162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</row>
    <row r="181" spans="3:24" ht="12.75" x14ac:dyDescent="0.2">
      <c r="C181" s="175"/>
      <c r="D181" s="173"/>
      <c r="E181" s="173"/>
      <c r="F181" s="173"/>
      <c r="G181" s="173"/>
      <c r="H181" s="173"/>
      <c r="I181" s="173"/>
      <c r="J181" s="173"/>
      <c r="K181" s="173"/>
      <c r="L181" s="173"/>
      <c r="M181" s="161"/>
      <c r="N181" s="162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</row>
    <row r="182" spans="3:24" x14ac:dyDescent="0.2">
      <c r="C182" s="174"/>
      <c r="D182" s="170"/>
      <c r="E182" s="170"/>
      <c r="F182" s="170"/>
      <c r="G182" s="170"/>
      <c r="H182" s="170"/>
      <c r="I182" s="170"/>
      <c r="J182" s="170"/>
      <c r="K182" s="170"/>
      <c r="L182" s="170"/>
      <c r="M182" s="155"/>
      <c r="N182" s="156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</row>
    <row r="183" spans="3:24" x14ac:dyDescent="0.2">
      <c r="C183" s="154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6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</row>
    <row r="184" spans="3:24" x14ac:dyDescent="0.2">
      <c r="C184" s="154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6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</row>
    <row r="185" spans="3:24" x14ac:dyDescent="0.2">
      <c r="C185" s="165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7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</row>
    <row r="186" spans="3:24" x14ac:dyDescent="0.2"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</row>
    <row r="187" spans="3:24" x14ac:dyDescent="0.2">
      <c r="C187" s="176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3"/>
    </row>
    <row r="188" spans="3:24" x14ac:dyDescent="0.2">
      <c r="C188" s="154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6"/>
    </row>
    <row r="189" spans="3:24" x14ac:dyDescent="0.2">
      <c r="C189" s="154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6"/>
    </row>
    <row r="190" spans="3:24" x14ac:dyDescent="0.2">
      <c r="C190" s="154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6"/>
    </row>
    <row r="191" spans="3:24" x14ac:dyDescent="0.2">
      <c r="C191" s="154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6"/>
    </row>
    <row r="192" spans="3:24" x14ac:dyDescent="0.2">
      <c r="C192" s="154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6"/>
    </row>
    <row r="193" spans="3:14" x14ac:dyDescent="0.2">
      <c r="C193" s="154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6"/>
    </row>
    <row r="194" spans="3:14" x14ac:dyDescent="0.2">
      <c r="C194" s="154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6"/>
    </row>
    <row r="195" spans="3:14" x14ac:dyDescent="0.2">
      <c r="C195" s="154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6"/>
    </row>
    <row r="196" spans="3:14" x14ac:dyDescent="0.2">
      <c r="C196" s="154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6"/>
    </row>
    <row r="197" spans="3:14" x14ac:dyDescent="0.2">
      <c r="C197" s="154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6"/>
    </row>
    <row r="198" spans="3:14" x14ac:dyDescent="0.2">
      <c r="C198" s="154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6"/>
    </row>
    <row r="199" spans="3:14" x14ac:dyDescent="0.2">
      <c r="C199" s="154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6"/>
    </row>
    <row r="200" spans="3:14" x14ac:dyDescent="0.2">
      <c r="C200" s="154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6"/>
    </row>
    <row r="201" spans="3:14" x14ac:dyDescent="0.2">
      <c r="C201" s="154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6"/>
    </row>
    <row r="202" spans="3:14" x14ac:dyDescent="0.2">
      <c r="C202" s="154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6"/>
    </row>
    <row r="203" spans="3:14" x14ac:dyDescent="0.2">
      <c r="C203" s="154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6"/>
    </row>
    <row r="204" spans="3:14" x14ac:dyDescent="0.2">
      <c r="C204" s="154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6"/>
    </row>
    <row r="205" spans="3:14" x14ac:dyDescent="0.2">
      <c r="C205" s="154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6"/>
    </row>
    <row r="206" spans="3:14" x14ac:dyDescent="0.2">
      <c r="C206" s="154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6"/>
    </row>
    <row r="207" spans="3:14" x14ac:dyDescent="0.2">
      <c r="C207" s="154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6"/>
    </row>
    <row r="208" spans="3:14" x14ac:dyDescent="0.2">
      <c r="C208" s="154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6"/>
    </row>
    <row r="209" spans="3:14" x14ac:dyDescent="0.2">
      <c r="C209" s="154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6"/>
    </row>
    <row r="210" spans="3:14" x14ac:dyDescent="0.2">
      <c r="C210" s="154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6"/>
    </row>
    <row r="211" spans="3:14" x14ac:dyDescent="0.2">
      <c r="C211" s="154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6"/>
    </row>
    <row r="212" spans="3:14" x14ac:dyDescent="0.2">
      <c r="C212" s="154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6"/>
    </row>
    <row r="213" spans="3:14" x14ac:dyDescent="0.2">
      <c r="C213" s="154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6"/>
    </row>
    <row r="214" spans="3:14" x14ac:dyDescent="0.2">
      <c r="C214" s="154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6"/>
    </row>
    <row r="215" spans="3:14" x14ac:dyDescent="0.2">
      <c r="C215" s="154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6"/>
    </row>
    <row r="216" spans="3:14" x14ac:dyDescent="0.2">
      <c r="C216" s="154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6"/>
    </row>
    <row r="217" spans="3:14" x14ac:dyDescent="0.2">
      <c r="C217" s="154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6"/>
    </row>
    <row r="218" spans="3:14" x14ac:dyDescent="0.2">
      <c r="C218" s="154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6"/>
    </row>
    <row r="219" spans="3:14" x14ac:dyDescent="0.2">
      <c r="C219" s="154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6"/>
    </row>
    <row r="220" spans="3:14" x14ac:dyDescent="0.2">
      <c r="C220" s="154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6"/>
    </row>
    <row r="221" spans="3:14" x14ac:dyDescent="0.2">
      <c r="C221" s="165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7"/>
    </row>
    <row r="223" spans="3:14" x14ac:dyDescent="0.2">
      <c r="C223" s="176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3"/>
    </row>
    <row r="224" spans="3:14" x14ac:dyDescent="0.2">
      <c r="C224" s="154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6"/>
    </row>
    <row r="225" spans="3:14" x14ac:dyDescent="0.2">
      <c r="C225" s="154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6"/>
    </row>
    <row r="226" spans="3:14" x14ac:dyDescent="0.2">
      <c r="C226" s="154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6"/>
    </row>
    <row r="227" spans="3:14" x14ac:dyDescent="0.2">
      <c r="C227" s="154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6"/>
    </row>
    <row r="228" spans="3:14" x14ac:dyDescent="0.2">
      <c r="C228" s="154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6"/>
    </row>
    <row r="229" spans="3:14" x14ac:dyDescent="0.2">
      <c r="C229" s="154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6"/>
    </row>
    <row r="230" spans="3:14" x14ac:dyDescent="0.2">
      <c r="C230" s="154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6"/>
    </row>
    <row r="231" spans="3:14" x14ac:dyDescent="0.2">
      <c r="C231" s="154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6"/>
    </row>
    <row r="232" spans="3:14" x14ac:dyDescent="0.2">
      <c r="C232" s="154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6"/>
    </row>
    <row r="233" spans="3:14" x14ac:dyDescent="0.2">
      <c r="C233" s="154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6"/>
    </row>
    <row r="234" spans="3:14" x14ac:dyDescent="0.2">
      <c r="C234" s="154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6"/>
    </row>
    <row r="235" spans="3:14" x14ac:dyDescent="0.2">
      <c r="C235" s="154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6"/>
    </row>
    <row r="236" spans="3:14" x14ac:dyDescent="0.2">
      <c r="C236" s="154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6"/>
    </row>
    <row r="237" spans="3:14" x14ac:dyDescent="0.2">
      <c r="C237" s="154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6"/>
    </row>
    <row r="238" spans="3:14" x14ac:dyDescent="0.2">
      <c r="C238" s="154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6"/>
    </row>
    <row r="239" spans="3:14" x14ac:dyDescent="0.2">
      <c r="C239" s="154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6"/>
    </row>
    <row r="240" spans="3:14" x14ac:dyDescent="0.2">
      <c r="C240" s="154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6"/>
    </row>
    <row r="241" spans="3:14" x14ac:dyDescent="0.2">
      <c r="C241" s="154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6"/>
    </row>
    <row r="242" spans="3:14" x14ac:dyDescent="0.2">
      <c r="C242" s="154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6"/>
    </row>
    <row r="243" spans="3:14" x14ac:dyDescent="0.2">
      <c r="C243" s="154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6"/>
    </row>
    <row r="244" spans="3:14" x14ac:dyDescent="0.2">
      <c r="C244" s="154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6"/>
    </row>
    <row r="245" spans="3:14" x14ac:dyDescent="0.2">
      <c r="C245" s="154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6"/>
    </row>
    <row r="246" spans="3:14" x14ac:dyDescent="0.2">
      <c r="C246" s="154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6"/>
    </row>
    <row r="247" spans="3:14" x14ac:dyDescent="0.2">
      <c r="C247" s="154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6"/>
    </row>
    <row r="248" spans="3:14" x14ac:dyDescent="0.2">
      <c r="C248" s="154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6"/>
    </row>
    <row r="249" spans="3:14" x14ac:dyDescent="0.2">
      <c r="C249" s="154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6"/>
    </row>
    <row r="250" spans="3:14" x14ac:dyDescent="0.2">
      <c r="C250" s="154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6"/>
    </row>
    <row r="251" spans="3:14" x14ac:dyDescent="0.2">
      <c r="C251" s="154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6"/>
    </row>
    <row r="252" spans="3:14" x14ac:dyDescent="0.2">
      <c r="C252" s="154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6"/>
    </row>
    <row r="253" spans="3:14" x14ac:dyDescent="0.2">
      <c r="C253" s="154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6"/>
    </row>
    <row r="254" spans="3:14" x14ac:dyDescent="0.2">
      <c r="C254" s="154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6"/>
    </row>
    <row r="255" spans="3:14" x14ac:dyDescent="0.2">
      <c r="C255" s="165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7"/>
    </row>
  </sheetData>
  <hyperlinks>
    <hyperlink ref="F13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C5:N52"/>
  <sheetViews>
    <sheetView workbookViewId="0">
      <selection activeCell="B34" sqref="B34"/>
    </sheetView>
  </sheetViews>
  <sheetFormatPr baseColWidth="10" defaultRowHeight="15" x14ac:dyDescent="0.25"/>
  <sheetData>
    <row r="5" spans="3:14" x14ac:dyDescent="0.25">
      <c r="C5" s="159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2"/>
    </row>
    <row r="6" spans="3:14" x14ac:dyDescent="0.25">
      <c r="C6" s="157" t="s">
        <v>96</v>
      </c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2"/>
    </row>
    <row r="7" spans="3:14" x14ac:dyDescent="0.25">
      <c r="C7" s="157" t="s">
        <v>118</v>
      </c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2"/>
    </row>
    <row r="8" spans="3:14" x14ac:dyDescent="0.25">
      <c r="C8" s="157" t="s">
        <v>119</v>
      </c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2"/>
    </row>
    <row r="9" spans="3:14" x14ac:dyDescent="0.25">
      <c r="C9" s="154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6"/>
    </row>
    <row r="10" spans="3:14" x14ac:dyDescent="0.25">
      <c r="C10" s="154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6"/>
    </row>
    <row r="11" spans="3:14" x14ac:dyDescent="0.25">
      <c r="C11" s="157" t="s">
        <v>98</v>
      </c>
      <c r="D11" s="161"/>
      <c r="E11" s="161"/>
      <c r="F11" s="161"/>
      <c r="G11" s="161"/>
      <c r="H11" s="161"/>
      <c r="I11" s="161"/>
      <c r="J11" s="161"/>
      <c r="K11" s="155"/>
      <c r="L11" s="155"/>
      <c r="M11" s="155"/>
      <c r="N11" s="156"/>
    </row>
    <row r="12" spans="3:14" x14ac:dyDescent="0.25">
      <c r="C12" s="157" t="s">
        <v>99</v>
      </c>
      <c r="D12" s="161"/>
      <c r="E12" s="161"/>
      <c r="F12" s="161"/>
      <c r="G12" s="161"/>
      <c r="H12" s="161"/>
      <c r="I12" s="161"/>
      <c r="J12" s="161"/>
      <c r="K12" s="155"/>
      <c r="L12" s="155"/>
      <c r="M12" s="155"/>
      <c r="N12" s="156"/>
    </row>
    <row r="13" spans="3:14" x14ac:dyDescent="0.25">
      <c r="C13" s="154"/>
      <c r="D13" s="155"/>
      <c r="E13" s="155"/>
      <c r="F13" s="155"/>
      <c r="G13" s="155"/>
      <c r="H13" s="155"/>
      <c r="I13" s="155"/>
      <c r="J13" s="155"/>
      <c r="K13" s="161"/>
      <c r="L13" s="161"/>
      <c r="M13" s="161"/>
      <c r="N13" s="162"/>
    </row>
    <row r="14" spans="3:14" x14ac:dyDescent="0.25">
      <c r="C14" s="154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6"/>
    </row>
    <row r="15" spans="3:14" x14ac:dyDescent="0.25">
      <c r="C15" s="154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6"/>
    </row>
    <row r="16" spans="3:14" x14ac:dyDescent="0.25">
      <c r="C16" s="157" t="s">
        <v>120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6"/>
    </row>
    <row r="17" spans="3:14" x14ac:dyDescent="0.25">
      <c r="C17" s="157" t="s">
        <v>91</v>
      </c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2"/>
    </row>
    <row r="18" spans="3:14" x14ac:dyDescent="0.25">
      <c r="C18" s="157" t="s">
        <v>97</v>
      </c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2"/>
    </row>
    <row r="19" spans="3:14" x14ac:dyDescent="0.25">
      <c r="C19" s="157" t="s">
        <v>84</v>
      </c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2"/>
    </row>
    <row r="20" spans="3:14" x14ac:dyDescent="0.25">
      <c r="C20" s="157" t="s">
        <v>68</v>
      </c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2"/>
    </row>
    <row r="21" spans="3:14" x14ac:dyDescent="0.25">
      <c r="C21" s="157" t="s">
        <v>100</v>
      </c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2"/>
    </row>
    <row r="22" spans="3:14" x14ac:dyDescent="0.25">
      <c r="C22" s="157" t="s">
        <v>101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2"/>
    </row>
    <row r="23" spans="3:14" x14ac:dyDescent="0.25">
      <c r="C23" s="157" t="s">
        <v>85</v>
      </c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2"/>
    </row>
    <row r="24" spans="3:14" x14ac:dyDescent="0.25">
      <c r="C24" s="154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6"/>
    </row>
    <row r="25" spans="3:14" x14ac:dyDescent="0.25">
      <c r="C25" s="157" t="s">
        <v>69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2"/>
    </row>
    <row r="26" spans="3:14" x14ac:dyDescent="0.25">
      <c r="C26" s="157" t="s">
        <v>86</v>
      </c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2"/>
    </row>
    <row r="27" spans="3:14" x14ac:dyDescent="0.25">
      <c r="C27" s="157" t="s">
        <v>128</v>
      </c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2"/>
    </row>
    <row r="28" spans="3:14" x14ac:dyDescent="0.25">
      <c r="C28" s="157" t="s">
        <v>70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2"/>
    </row>
    <row r="29" spans="3:14" x14ac:dyDescent="0.25">
      <c r="C29" s="157" t="s">
        <v>123</v>
      </c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2"/>
    </row>
    <row r="30" spans="3:14" x14ac:dyDescent="0.25">
      <c r="C30" s="157" t="s">
        <v>102</v>
      </c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2"/>
    </row>
    <row r="31" spans="3:14" x14ac:dyDescent="0.25">
      <c r="C31" s="154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6"/>
    </row>
    <row r="32" spans="3:14" x14ac:dyDescent="0.25">
      <c r="C32" s="154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6"/>
    </row>
    <row r="33" spans="3:14" x14ac:dyDescent="0.25">
      <c r="C33" s="157" t="s">
        <v>71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2"/>
    </row>
    <row r="34" spans="3:14" x14ac:dyDescent="0.25">
      <c r="C34" s="157" t="s">
        <v>72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2"/>
    </row>
    <row r="35" spans="3:14" x14ac:dyDescent="0.25">
      <c r="C35" s="157" t="s">
        <v>103</v>
      </c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2"/>
    </row>
    <row r="36" spans="3:14" x14ac:dyDescent="0.25">
      <c r="C36" s="157" t="s">
        <v>104</v>
      </c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2"/>
    </row>
    <row r="37" spans="3:14" x14ac:dyDescent="0.25">
      <c r="C37" s="157" t="s">
        <v>105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2"/>
    </row>
    <row r="38" spans="3:14" x14ac:dyDescent="0.25">
      <c r="C38" s="157" t="s">
        <v>73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2"/>
    </row>
    <row r="39" spans="3:14" x14ac:dyDescent="0.25">
      <c r="C39" s="154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6"/>
    </row>
    <row r="40" spans="3:14" x14ac:dyDescent="0.25">
      <c r="C40" s="154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6"/>
    </row>
    <row r="41" spans="3:14" x14ac:dyDescent="0.25">
      <c r="C41" s="157" t="s">
        <v>74</v>
      </c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2"/>
    </row>
    <row r="42" spans="3:14" x14ac:dyDescent="0.25">
      <c r="C42" s="157" t="s">
        <v>87</v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2"/>
    </row>
    <row r="43" spans="3:14" x14ac:dyDescent="0.25">
      <c r="C43" s="157" t="s">
        <v>75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2"/>
    </row>
    <row r="44" spans="3:14" x14ac:dyDescent="0.25">
      <c r="C44" s="157" t="s">
        <v>74</v>
      </c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2"/>
    </row>
    <row r="45" spans="3:14" x14ac:dyDescent="0.25">
      <c r="C45" s="159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2"/>
    </row>
    <row r="46" spans="3:14" x14ac:dyDescent="0.25">
      <c r="C46" s="157" t="s">
        <v>124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2"/>
    </row>
    <row r="47" spans="3:14" x14ac:dyDescent="0.25">
      <c r="C47" s="157" t="s">
        <v>76</v>
      </c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2"/>
    </row>
    <row r="48" spans="3:14" x14ac:dyDescent="0.25">
      <c r="C48" s="157" t="s">
        <v>77</v>
      </c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2"/>
    </row>
    <row r="49" spans="3:14" x14ac:dyDescent="0.25">
      <c r="C49" s="157" t="s">
        <v>78</v>
      </c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2"/>
    </row>
    <row r="50" spans="3:14" x14ac:dyDescent="0.25">
      <c r="C50" s="157" t="s">
        <v>79</v>
      </c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2"/>
    </row>
    <row r="51" spans="3:14" x14ac:dyDescent="0.25">
      <c r="C51" s="157" t="s">
        <v>106</v>
      </c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2"/>
    </row>
    <row r="52" spans="3:14" x14ac:dyDescent="0.25">
      <c r="C52" s="159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</vt:lpstr>
      <vt:lpstr>README</vt:lpstr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KEMGUE</dc:creator>
  <cp:lastModifiedBy>KEMGUE</cp:lastModifiedBy>
  <dcterms:created xsi:type="dcterms:W3CDTF">2024-10-10T08:21:19Z</dcterms:created>
  <dcterms:modified xsi:type="dcterms:W3CDTF">2026-01-17T06:37:18Z</dcterms:modified>
</cp:coreProperties>
</file>